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ml01\Desktop\Dev\vendas-helps\"/>
    </mc:Choice>
  </mc:AlternateContent>
  <xr:revisionPtr revIDLastSave="0" documentId="13_ncr:1_{8B36408A-C019-42BE-BEFA-B8AD103212EA}" xr6:coauthVersionLast="36" xr6:coauthVersionMax="36" xr10:uidLastSave="{00000000-0000-0000-0000-000000000000}"/>
  <bookViews>
    <workbookView xWindow="0" yWindow="0" windowWidth="16410" windowHeight="7545" xr2:uid="{00000000-000D-0000-FFFF-FFFF00000000}"/>
  </bookViews>
  <sheets>
    <sheet name="Planilha1" sheetId="4" r:id="rId1"/>
    <sheet name="Base" sheetId="1" r:id="rId2"/>
    <sheet name="JUNHO-2024" sheetId="2" r:id="rId3"/>
    <sheet name="MAIO-2024" sheetId="3" r:id="rId4"/>
  </sheets>
  <definedNames>
    <definedName name="DadosExternos_1" localSheetId="0" hidden="1">Planilha1!$A$2:$G$17</definedName>
    <definedName name="_xlnm.Print_Titles" localSheetId="0">Planilha1!$1:$12</definedName>
  </definedNames>
  <calcPr calcId="191029"/>
</workbook>
</file>

<file path=xl/calcChain.xml><?xml version="1.0" encoding="utf-8"?>
<calcChain xmlns="http://schemas.openxmlformats.org/spreadsheetml/2006/main">
  <c r="A1" i="4" l="1"/>
  <c r="A1" i="1" l="1"/>
  <c r="A1" i="3"/>
  <c r="A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3E995F-D9BE-4D38-B52E-48D99F13E352}" keepAlive="1" name="Consulta - ML-VENDAS-JULHO" description="Conexão com a consulta 'ML-VENDAS-JULHO' na pasta de trabalho." type="5" refreshedVersion="6" background="1" saveData="1">
    <dbPr connection="Provider=Microsoft.Mashup.OleDb.1;Data Source=$Workbook$;Location=ML-VENDAS-JULHO;Extended Properties=&quot;&quot;" command="SELECT * FROM [ML-VENDAS-JULHO]"/>
  </connection>
</connections>
</file>

<file path=xl/sharedStrings.xml><?xml version="1.0" encoding="utf-8"?>
<sst xmlns="http://schemas.openxmlformats.org/spreadsheetml/2006/main" count="147" uniqueCount="84">
  <si>
    <t>N° PEDIDO</t>
  </si>
  <si>
    <t>FLS</t>
  </si>
  <si>
    <t>VALOR</t>
  </si>
  <si>
    <t>PRAZO</t>
  </si>
  <si>
    <t>UF</t>
  </si>
  <si>
    <t>NOME DO CLIENTE</t>
  </si>
  <si>
    <t>1x</t>
  </si>
  <si>
    <t>ES</t>
  </si>
  <si>
    <t>VANDREY PEDROZA BISPO</t>
  </si>
  <si>
    <t>GO</t>
  </si>
  <si>
    <t>GUSTAVO HENRIQUE DE FREITAS</t>
  </si>
  <si>
    <t>MS</t>
  </si>
  <si>
    <t>PATRÍCIA FARIAS PARIZ</t>
  </si>
  <si>
    <t>MT</t>
  </si>
  <si>
    <t>P M DE CONTO LTDA</t>
  </si>
  <si>
    <t>ANTONIO TOMAZ DE AQUINO AZARIAS DA SILVA</t>
  </si>
  <si>
    <t>PA</t>
  </si>
  <si>
    <t>HUILIAM BEZERRA</t>
  </si>
  <si>
    <t>PI</t>
  </si>
  <si>
    <t>IGOR FIGUEIREDO CARNEIRO</t>
  </si>
  <si>
    <t>RJ</t>
  </si>
  <si>
    <t>BRUNO CAMILO</t>
  </si>
  <si>
    <t>SP</t>
  </si>
  <si>
    <t>LUIZ ANTONIO DOS SANTOS</t>
  </si>
  <si>
    <t>ALEX DA CUNHA CAMARGO SANTOS</t>
  </si>
  <si>
    <t>TO</t>
  </si>
  <si>
    <t>VITOR SOARES TAVARES NOTA FISCAL ELETRÔNICA</t>
  </si>
  <si>
    <t>CE</t>
  </si>
  <si>
    <t>JOSE DANIEL NETO</t>
  </si>
  <si>
    <t>ANTONIO ALEX</t>
  </si>
  <si>
    <t>NIDES BARROS CORDEIRO</t>
  </si>
  <si>
    <t>CAIO BRAZ DOS SANTOS</t>
  </si>
  <si>
    <t>GILSON PEREIRA</t>
  </si>
  <si>
    <t>ISRAEL PEREIRA</t>
  </si>
  <si>
    <t>MG</t>
  </si>
  <si>
    <t>AIRES DILERMANDO</t>
  </si>
  <si>
    <t>XIP 7 INFORMATICA LTDA</t>
  </si>
  <si>
    <t>MARCELO N. GOMES</t>
  </si>
  <si>
    <t>WADLER LUIS DE BRITO MORAES</t>
  </si>
  <si>
    <t>ALEX DALLASTRA</t>
  </si>
  <si>
    <t>CARMEM FRANCA CORSINO BECKMAN COSTA</t>
  </si>
  <si>
    <t>PR</t>
  </si>
  <si>
    <t>PAULO ROBERTO ALVES FERREIRA</t>
  </si>
  <si>
    <t>FRANCISCO ANASTACIO LIMA FILHO</t>
  </si>
  <si>
    <t>RENATA RIBEIRO</t>
  </si>
  <si>
    <t>ANDRE LUIZ DUCATTI</t>
  </si>
  <si>
    <t>LEONARDO CHAVES DE SOUSA</t>
  </si>
  <si>
    <t>PRISCILLA RIBEIRO DE FREITAS MELO</t>
  </si>
  <si>
    <t>FERNANDA MONTEIRO DA SILVA</t>
  </si>
  <si>
    <t>PE</t>
  </si>
  <si>
    <t>VITOR M. F. GOMES</t>
  </si>
  <si>
    <t>MARCUS R. FIGUEIREDO</t>
  </si>
  <si>
    <t>MARTA T. BORGES</t>
  </si>
  <si>
    <t>ERNESTO VOLANTE JUNIOR</t>
  </si>
  <si>
    <t>Coluna1</t>
  </si>
  <si>
    <t>N°</t>
  </si>
  <si>
    <t>BA</t>
  </si>
  <si>
    <t>748187</t>
  </si>
  <si>
    <t>JAIRO PEDROSO BATISTA</t>
  </si>
  <si>
    <t>746107</t>
  </si>
  <si>
    <t>ALEXEI RABELO</t>
  </si>
  <si>
    <t>746936</t>
  </si>
  <si>
    <t>JOSE ROBERTO PEREIRA</t>
  </si>
  <si>
    <t>746441</t>
  </si>
  <si>
    <t>EDSON CARVALHO</t>
  </si>
  <si>
    <t>744420</t>
  </si>
  <si>
    <t>LUIZ ANTONIO MARTINS</t>
  </si>
  <si>
    <t>745885</t>
  </si>
  <si>
    <t>LETICIA SILVA</t>
  </si>
  <si>
    <t>747312</t>
  </si>
  <si>
    <t>RICARDO GHENO</t>
  </si>
  <si>
    <t>746594</t>
  </si>
  <si>
    <t>SIDNEY LANDGRAF</t>
  </si>
  <si>
    <t>745450</t>
  </si>
  <si>
    <t>FAGNER CHICONATTO</t>
  </si>
  <si>
    <t>746221</t>
  </si>
  <si>
    <t>LUCIENE DE ARAUJO DA SILVA</t>
  </si>
  <si>
    <t>747088</t>
  </si>
  <si>
    <t>ARMELIN TERRAPLENAGEM E ENGENHARIA LTDA</t>
  </si>
  <si>
    <t>741426</t>
  </si>
  <si>
    <t>SERGIO REINO FRANCISCO</t>
  </si>
  <si>
    <t>746216</t>
  </si>
  <si>
    <t>MEDK INDUSTRIA, COMERCIO, IMPORTACAO E EXPORTACAO DE PRODUTO</t>
  </si>
  <si>
    <t>Mês=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</si>
</sst>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#"/>
    <numFmt numFmtId="165" formatCode="[$R$ -416]#,##0.00"/>
    <numFmt numFmtId="166" formatCode="&quot;R$&quot;\ #,##0.00"/>
  </numFmts>
  <fonts count="14" x14ac:knownFonts="1">
    <font>
      <sz val="10"/>
      <color rgb="FF000000"/>
      <name val="Arial"/>
      <scheme val="minor"/>
    </font>
    <font>
      <b/>
      <sz val="18"/>
      <color theme="1"/>
      <name val="Arial"/>
    </font>
    <font>
      <sz val="10"/>
      <name val="Arial"/>
    </font>
    <font>
      <b/>
      <sz val="14"/>
      <color theme="1"/>
      <name val="Arial"/>
    </font>
    <font>
      <sz val="14"/>
      <color theme="1"/>
      <name val="Arial"/>
    </font>
    <font>
      <b/>
      <sz val="16"/>
      <color theme="1"/>
      <name val="Arial"/>
      <family val="2"/>
    </font>
    <font>
      <sz val="16"/>
      <name val="Arial"/>
      <family val="2"/>
    </font>
    <font>
      <sz val="16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b/>
      <u/>
      <sz val="15"/>
      <color theme="1"/>
      <name val="Arial"/>
      <family val="2"/>
    </font>
    <font>
      <u/>
      <sz val="15"/>
      <name val="Arial"/>
      <family val="2"/>
    </font>
    <font>
      <u/>
      <sz val="15"/>
      <color rgb="FF000000"/>
      <name val="Arial"/>
      <family val="2"/>
      <scheme val="minor"/>
    </font>
    <font>
      <u/>
      <sz val="10"/>
      <color rgb="FF000000"/>
      <name val="Arial"/>
      <family val="2"/>
      <scheme val="minor"/>
    </font>
    <font>
      <b/>
      <sz val="14"/>
      <color rgb="FF00000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CCCCCC"/>
        <bgColor rgb="FFCCCCCC"/>
      </patternFill>
    </fill>
  </fills>
  <borders count="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40">
    <xf numFmtId="0" fontId="0" fillId="0" borderId="0" xfId="0" applyFont="1" applyAlignment="1"/>
    <xf numFmtId="0" fontId="3" fillId="2" borderId="4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4" xfId="0" quotePrefix="1" applyFont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165" fontId="4" fillId="0" borderId="9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7" fillId="0" borderId="0" xfId="0" applyFont="1" applyAlignment="1"/>
    <xf numFmtId="0" fontId="8" fillId="0" borderId="0" xfId="0" applyFont="1" applyAlignment="1">
      <alignment horizontal="center"/>
    </xf>
    <xf numFmtId="14" fontId="0" fillId="0" borderId="0" xfId="0" applyNumberFormat="1" applyFont="1" applyAlignment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166" fontId="11" fillId="0" borderId="0" xfId="0" applyNumberFormat="1" applyFont="1" applyAlignment="1">
      <alignment horizontal="right"/>
    </xf>
    <xf numFmtId="0" fontId="11" fillId="0" borderId="0" xfId="0" applyFont="1" applyAlignment="1"/>
    <xf numFmtId="0" fontId="12" fillId="0" borderId="0" xfId="0" applyFont="1" applyAlignment="1"/>
    <xf numFmtId="0" fontId="9" fillId="0" borderId="1" xfId="0" applyFont="1" applyBorder="1" applyAlignment="1">
      <alignment horizontal="right" vertical="center"/>
    </xf>
    <xf numFmtId="0" fontId="10" fillId="0" borderId="2" xfId="0" applyFont="1" applyBorder="1"/>
    <xf numFmtId="0" fontId="10" fillId="0" borderId="3" xfId="0" applyFont="1" applyBorder="1"/>
    <xf numFmtId="0" fontId="5" fillId="0" borderId="1" xfId="0" applyFont="1" applyBorder="1" applyAlignment="1">
      <alignment horizontal="right" vertical="center"/>
    </xf>
    <xf numFmtId="0" fontId="6" fillId="0" borderId="2" xfId="0" applyFont="1" applyBorder="1"/>
    <xf numFmtId="0" fontId="6" fillId="0" borderId="3" xfId="0" applyFont="1" applyBorder="1"/>
    <xf numFmtId="0" fontId="1" fillId="0" borderId="1" xfId="0" applyFont="1" applyBorder="1" applyAlignment="1">
      <alignment horizontal="right" vertical="center"/>
    </xf>
    <xf numFmtId="0" fontId="2" fillId="0" borderId="2" xfId="0" applyFont="1" applyBorder="1"/>
    <xf numFmtId="0" fontId="2" fillId="0" borderId="3" xfId="0" applyFont="1" applyBorder="1"/>
    <xf numFmtId="0" fontId="11" fillId="0" borderId="0" xfId="0" applyFont="1" applyAlignment="1">
      <alignment horizontal="center" wrapText="1"/>
    </xf>
    <xf numFmtId="0" fontId="11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13" fillId="0" borderId="0" xfId="0" applyFont="1" applyAlignment="1">
      <alignment horizontal="center" vertical="center"/>
    </xf>
  </cellXfs>
  <cellStyles count="1">
    <cellStyle name="Normal" xfId="0" builtinId="0"/>
  </cellStyles>
  <dxfs count="21">
    <dxf>
      <font>
        <strike val="0"/>
        <outline val="0"/>
        <shadow val="0"/>
        <u/>
        <vertAlign val="baseline"/>
        <sz val="15"/>
        <color rgb="FF000000"/>
        <name val="Arial"/>
        <family val="2"/>
        <scheme val="min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family val="2"/>
        <scheme val="minor"/>
      </font>
      <numFmt numFmtId="166" formatCode="&quot;R$&quot;\ #,##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/>
        <vertAlign val="baseline"/>
        <sz val="15"/>
        <color rgb="FF000000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5" formatCode="[$R$ -416]#,##0.0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numFmt numFmtId="164" formatCode="0#"/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fill>
        <patternFill patternType="solid">
          <fgColor rgb="FFCCCCCC"/>
          <bgColor rgb="FFCCCCCC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strike val="0"/>
        <outline val="0"/>
        <shadow val="0"/>
        <u/>
        <vertAlign val="baseline"/>
        <sz val="15"/>
        <color rgb="FF000000"/>
        <name val="Arial"/>
        <scheme val="minor"/>
      </font>
    </dxf>
    <dxf>
      <font>
        <strike val="0"/>
        <outline val="0"/>
        <shadow val="0"/>
        <u/>
        <vertAlign val="baseline"/>
        <sz val="15"/>
        <color rgb="FF000000"/>
        <name val="Arial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123825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EB010BFC-05DA-4161-9DC8-AD758170D32C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5275" y="123825"/>
          <a:ext cx="1628775" cy="419100"/>
        </a:xfrm>
        <a:prstGeom prst="rect">
          <a:avLst/>
        </a:prstGeom>
        <a:noFill/>
      </xdr:spPr>
    </xdr:pic>
    <xdr:clientData fLocksWithSheet="0"/>
  </xdr:oneCellAnchor>
  <xdr:twoCellAnchor>
    <xdr:from>
      <xdr:col>9</xdr:col>
      <xdr:colOff>129352</xdr:colOff>
      <xdr:row>0</xdr:row>
      <xdr:rowOff>293981</xdr:rowOff>
    </xdr:from>
    <xdr:to>
      <xdr:col>10</xdr:col>
      <xdr:colOff>752594</xdr:colOff>
      <xdr:row>0</xdr:row>
      <xdr:rowOff>587963</xdr:rowOff>
    </xdr:to>
    <xdr:sp macro="[0]!exportar_para_pdf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EEF65774-F0AC-4B27-BD0F-8DD125BBF3B0}"/>
            </a:ext>
          </a:extLst>
        </xdr:cNvPr>
        <xdr:cNvSpPr/>
      </xdr:nvSpPr>
      <xdr:spPr>
        <a:xfrm>
          <a:off x="11582871" y="293981"/>
          <a:ext cx="1469908" cy="29398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 Black" panose="020B0A04020102020204" pitchFamily="34" charset="0"/>
            </a:rPr>
            <a:t>Export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1</xdr:col>
      <xdr:colOff>114300</xdr:colOff>
      <xdr:row>0</xdr:row>
      <xdr:rowOff>38100</xdr:rowOff>
    </xdr:from>
    <xdr:to>
      <xdr:col>2</xdr:col>
      <xdr:colOff>581025</xdr:colOff>
      <xdr:row>0</xdr:row>
      <xdr:rowOff>457200</xdr:rowOff>
    </xdr:to>
    <xdr:pic>
      <xdr:nvPicPr>
        <xdr:cNvPr id="1025" name="image1.png">
          <a:extLst>
            <a:ext uri="{FF2B5EF4-FFF2-40B4-BE49-F238E27FC236}">
              <a16:creationId xmlns:a16="http://schemas.microsoft.com/office/drawing/2014/main" id="{9F34C233-FD30-4176-88D6-3A2CD66E3392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8100"/>
          <a:ext cx="1628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1</xdr:col>
      <xdr:colOff>114300</xdr:colOff>
      <xdr:row>0</xdr:row>
      <xdr:rowOff>38100</xdr:rowOff>
    </xdr:from>
    <xdr:to>
      <xdr:col>2</xdr:col>
      <xdr:colOff>581025</xdr:colOff>
      <xdr:row>0</xdr:row>
      <xdr:rowOff>457200</xdr:rowOff>
    </xdr:to>
    <xdr:pic>
      <xdr:nvPicPr>
        <xdr:cNvPr id="1026" name="Picture 2">
          <a:extLst>
            <a:ext uri="{FF2B5EF4-FFF2-40B4-BE49-F238E27FC236}">
              <a16:creationId xmlns:a16="http://schemas.microsoft.com/office/drawing/2014/main" id="{A16DC642-21AF-4319-B7D2-80723B8713A5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8100"/>
          <a:ext cx="1628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0</xdr:row>
      <xdr:rowOff>38100</xdr:rowOff>
    </xdr:from>
    <xdr:ext cx="1628775" cy="419100"/>
    <xdr:pic>
      <xdr:nvPicPr>
        <xdr:cNvPr id="2" name="image1.png" title="Image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growShrinkType="insertClear" connectionId="1" xr16:uid="{E10C2040-1E64-4B0C-B346-33F3FF8A4BC0}" autoFormatId="16" applyNumberFormats="0" applyBorderFormats="0" applyFontFormats="0" applyPatternFormats="0" applyAlignmentFormats="0" applyWidthHeightFormats="0">
  <queryTableRefresh nextId="13">
    <queryTableFields count="7">
      <queryTableField id="1" name="N°" tableColumnId="1"/>
      <queryTableField id="11" name="FLS" tableColumnId="10"/>
      <queryTableField id="9" name="N° PEDIDO" tableColumnId="9"/>
      <queryTableField id="4" name="VALOR" tableColumnId="4"/>
      <queryTableField id="5" name="PRAZO" tableColumnId="5"/>
      <queryTableField id="6" name="UF" tableColumnId="6"/>
      <queryTableField id="7" name="NOME DO CLIENT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CD1AA1-3E30-4FF0-8697-63884CA930D5}" name="ML_VENDAS_JULHO" displayName="ML_VENDAS_JULHO" ref="A2:G17" tableType="queryTable" totalsRowShown="0" headerRowDxfId="20" dataDxfId="19">
  <autoFilter ref="A2:G17" xr:uid="{1360D3CE-BDCD-4FB2-BAE8-1FB0BCE9516D}"/>
  <tableColumns count="7">
    <tableColumn id="1" xr3:uid="{07D57B43-0791-4096-BF6D-991B79A2CF64}" uniqueName="1" name="N°" queryTableFieldId="1" dataDxfId="6"/>
    <tableColumn id="10" xr3:uid="{EABD4C56-1306-48BA-9E78-E31C39A4CD77}" uniqueName="10" name="FLS" queryTableFieldId="11" dataDxfId="5"/>
    <tableColumn id="9" xr3:uid="{A813E1F7-273A-44FD-8697-47DEC187056B}" uniqueName="9" name="N° PEDIDO" queryTableFieldId="9" dataDxfId="4"/>
    <tableColumn id="4" xr3:uid="{18AD1496-4FC5-4C93-8945-712BEE9B57C9}" uniqueName="4" name="VALOR" queryTableFieldId="4" dataDxfId="3"/>
    <tableColumn id="5" xr3:uid="{38E9EC9D-0CE1-44B0-9C56-1A6D1CC6BD22}" uniqueName="5" name="PRAZO" queryTableFieldId="5" dataDxfId="2"/>
    <tableColumn id="6" xr3:uid="{FF7EB1BE-6E80-45B1-A7B2-887EF6D68EB2}" uniqueName="6" name="UF" queryTableFieldId="6" dataDxfId="1"/>
    <tableColumn id="7" xr3:uid="{9149A293-9D72-440E-9AA8-CB903973FDC7}" uniqueName="7" name="NOME DO CLIENTE" queryTableFieldId="7" dataDxfId="0"/>
  </tableColumns>
  <tableStyleInfo name="TableStyleMedium15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142404-8ABA-40E5-8E74-7ABFA520EB98}" name="Tabela1" displayName="Tabela1" ref="A2:G26" totalsRowShown="0" headerRowDxfId="18" dataDxfId="16" headerRowBorderDxfId="17" tableBorderDxfId="15" totalsRowBorderDxfId="14">
  <autoFilter ref="A2:G26" xr:uid="{8F6A352D-9DEC-4349-A331-A738D9A04761}"/>
  <tableColumns count="7">
    <tableColumn id="1" xr3:uid="{12EFC611-4E60-430B-A89E-AD16B6036A91}" name="Coluna1" dataDxfId="13"/>
    <tableColumn id="2" xr3:uid="{2EA7DA68-0B5F-4A72-8DD0-43775D95D35F}" name="N° PEDIDO" dataDxfId="12"/>
    <tableColumn id="3" xr3:uid="{92B1133C-F733-428F-98BC-9183734BB235}" name="FLS" dataDxfId="11"/>
    <tableColumn id="4" xr3:uid="{B26D295B-1953-4410-AEB2-7517225F77D9}" name="VALOR" dataDxfId="10"/>
    <tableColumn id="5" xr3:uid="{CFF9AA77-0D74-44AD-B1CE-9067C472C4F0}" name="PRAZO" dataDxfId="9"/>
    <tableColumn id="6" xr3:uid="{2C0BED7B-8F5A-49B9-8278-D81A18794A3E}" name="UF" dataDxfId="8"/>
    <tableColumn id="7" xr3:uid="{BFEFC12A-A67C-4C98-844E-3FB771954EB0}" name="NOME DO CLIENT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B6438-3839-4208-ACB2-4BD39B21E967}">
  <sheetPr codeName="Planilha1">
    <pageSetUpPr fitToPage="1"/>
  </sheetPr>
  <dimension ref="A1:P21"/>
  <sheetViews>
    <sheetView tabSelected="1" topLeftCell="E1" zoomScale="81" workbookViewId="0">
      <selection activeCell="N18" sqref="N18"/>
    </sheetView>
  </sheetViews>
  <sheetFormatPr defaultRowHeight="12.75" x14ac:dyDescent="0.2"/>
  <cols>
    <col min="1" max="1" width="10.42578125" style="26" bestFit="1" customWidth="1"/>
    <col min="2" max="2" width="12.7109375" style="26" bestFit="1" customWidth="1"/>
    <col min="3" max="3" width="22.140625" style="26" bestFit="1" customWidth="1"/>
    <col min="4" max="4" width="17.140625" style="26" bestFit="1" customWidth="1"/>
    <col min="5" max="5" width="16.85546875" style="26" bestFit="1" customWidth="1"/>
    <col min="6" max="6" width="11.140625" style="26" bestFit="1" customWidth="1"/>
    <col min="7" max="7" width="81.140625" style="38" bestFit="1" customWidth="1"/>
    <col min="8" max="8" width="37.5703125" style="26" hidden="1" customWidth="1"/>
    <col min="9" max="9" width="0.140625" style="26" customWidth="1"/>
    <col min="10" max="10" width="12.7109375" bestFit="1" customWidth="1"/>
    <col min="11" max="11" width="16.85546875" customWidth="1"/>
  </cols>
  <sheetData>
    <row r="1" spans="1:16" ht="48.75" customHeight="1" x14ac:dyDescent="0.25">
      <c r="A1" s="27" t="str">
        <f>_xlfn.CONCAT("Controle Interno de Pedidos                                            DATA: ",UPPER(TEXT(DATE(2024,K6,1),"MM/aaaa")))</f>
        <v>Controle Interno de Pedidos                                            DATA: 11/2024</v>
      </c>
      <c r="B1" s="28"/>
      <c r="C1" s="28"/>
      <c r="D1" s="28"/>
      <c r="E1" s="28"/>
      <c r="F1" s="28"/>
      <c r="G1" s="28"/>
      <c r="H1" s="28"/>
      <c r="I1" s="29"/>
    </row>
    <row r="2" spans="1:16" s="20" customFormat="1" ht="19.5" x14ac:dyDescent="0.3">
      <c r="A2" s="22" t="s">
        <v>55</v>
      </c>
      <c r="B2" s="22" t="s">
        <v>1</v>
      </c>
      <c r="C2" s="22" t="s">
        <v>0</v>
      </c>
      <c r="D2" s="23" t="s">
        <v>2</v>
      </c>
      <c r="E2" s="22" t="s">
        <v>3</v>
      </c>
      <c r="F2" s="22" t="s">
        <v>4</v>
      </c>
      <c r="G2" s="36" t="s">
        <v>5</v>
      </c>
      <c r="H2" s="22"/>
      <c r="I2" s="22"/>
    </row>
    <row r="3" spans="1:16" ht="18.75" x14ac:dyDescent="0.25">
      <c r="A3" s="22">
        <v>1</v>
      </c>
      <c r="B3" s="22">
        <v>1</v>
      </c>
      <c r="C3" s="22" t="s">
        <v>57</v>
      </c>
      <c r="D3" s="24">
        <v>1170</v>
      </c>
      <c r="E3" s="22">
        <v>1</v>
      </c>
      <c r="F3" s="22" t="s">
        <v>56</v>
      </c>
      <c r="G3" s="37" t="s">
        <v>58</v>
      </c>
      <c r="H3" s="25"/>
      <c r="I3" s="25"/>
      <c r="O3">
        <v>1</v>
      </c>
    </row>
    <row r="4" spans="1:16" ht="18.75" x14ac:dyDescent="0.25">
      <c r="A4" s="22">
        <v>2</v>
      </c>
      <c r="B4" s="22">
        <v>1</v>
      </c>
      <c r="C4" s="22" t="s">
        <v>59</v>
      </c>
      <c r="D4" s="24">
        <v>1170</v>
      </c>
      <c r="E4" s="22">
        <v>1</v>
      </c>
      <c r="F4" s="22" t="s">
        <v>27</v>
      </c>
      <c r="G4" s="37" t="s">
        <v>60</v>
      </c>
      <c r="H4" s="25"/>
      <c r="I4" s="25"/>
      <c r="O4">
        <v>2</v>
      </c>
    </row>
    <row r="5" spans="1:16" ht="18.75" x14ac:dyDescent="0.25">
      <c r="A5" s="22">
        <v>3</v>
      </c>
      <c r="B5" s="22">
        <v>1</v>
      </c>
      <c r="C5" s="22" t="s">
        <v>61</v>
      </c>
      <c r="D5" s="24">
        <v>230</v>
      </c>
      <c r="E5" s="22">
        <v>1</v>
      </c>
      <c r="F5" s="22" t="s">
        <v>9</v>
      </c>
      <c r="G5" s="37" t="s">
        <v>62</v>
      </c>
      <c r="H5" s="25"/>
      <c r="I5" s="25"/>
      <c r="O5">
        <v>3</v>
      </c>
    </row>
    <row r="6" spans="1:16" ht="18.75" x14ac:dyDescent="0.25">
      <c r="A6" s="22">
        <v>4</v>
      </c>
      <c r="B6" s="22">
        <v>1</v>
      </c>
      <c r="C6" s="22" t="s">
        <v>63</v>
      </c>
      <c r="D6" s="24">
        <v>1170</v>
      </c>
      <c r="E6" s="22">
        <v>1</v>
      </c>
      <c r="F6" s="22" t="s">
        <v>34</v>
      </c>
      <c r="G6" s="37" t="s">
        <v>64</v>
      </c>
      <c r="H6" s="25"/>
      <c r="I6" s="25"/>
      <c r="J6" s="39" t="s">
        <v>83</v>
      </c>
      <c r="K6" s="39">
        <v>11</v>
      </c>
      <c r="O6">
        <v>4</v>
      </c>
    </row>
    <row r="7" spans="1:16" ht="18.75" x14ac:dyDescent="0.25">
      <c r="A7" s="22">
        <v>5</v>
      </c>
      <c r="B7" s="22">
        <v>1</v>
      </c>
      <c r="C7" s="22" t="s">
        <v>65</v>
      </c>
      <c r="D7" s="24">
        <v>1080</v>
      </c>
      <c r="E7" s="22">
        <v>1</v>
      </c>
      <c r="F7" s="22" t="s">
        <v>34</v>
      </c>
      <c r="G7" s="37" t="s">
        <v>66</v>
      </c>
      <c r="H7" s="25"/>
      <c r="I7" s="25"/>
      <c r="O7">
        <v>5</v>
      </c>
    </row>
    <row r="8" spans="1:16" ht="18.75" x14ac:dyDescent="0.25">
      <c r="A8" s="22">
        <v>6</v>
      </c>
      <c r="B8" s="22">
        <v>1</v>
      </c>
      <c r="C8" s="22" t="s">
        <v>67</v>
      </c>
      <c r="D8" s="24">
        <v>230</v>
      </c>
      <c r="E8" s="22">
        <v>1</v>
      </c>
      <c r="F8" s="22" t="s">
        <v>34</v>
      </c>
      <c r="G8" s="37" t="s">
        <v>68</v>
      </c>
      <c r="H8" s="25"/>
      <c r="I8" s="25"/>
      <c r="O8">
        <v>6</v>
      </c>
    </row>
    <row r="9" spans="1:16" ht="18.75" x14ac:dyDescent="0.25">
      <c r="A9" s="22">
        <v>7</v>
      </c>
      <c r="B9" s="22">
        <v>1</v>
      </c>
      <c r="C9" s="22" t="s">
        <v>69</v>
      </c>
      <c r="D9" s="24">
        <v>1200</v>
      </c>
      <c r="E9" s="22">
        <v>1</v>
      </c>
      <c r="F9" s="22" t="s">
        <v>11</v>
      </c>
      <c r="G9" s="37" t="s">
        <v>70</v>
      </c>
      <c r="H9" s="25"/>
      <c r="I9" s="25"/>
      <c r="O9">
        <v>7</v>
      </c>
    </row>
    <row r="10" spans="1:16" ht="18.75" x14ac:dyDescent="0.25">
      <c r="A10" s="22">
        <v>8</v>
      </c>
      <c r="B10" s="22">
        <v>1</v>
      </c>
      <c r="C10" s="22" t="s">
        <v>71</v>
      </c>
      <c r="D10" s="24">
        <v>2185</v>
      </c>
      <c r="E10" s="22">
        <v>1</v>
      </c>
      <c r="F10" s="22" t="s">
        <v>11</v>
      </c>
      <c r="G10" s="37" t="s">
        <v>72</v>
      </c>
      <c r="H10" s="25"/>
      <c r="I10" s="25"/>
      <c r="O10">
        <v>8</v>
      </c>
    </row>
    <row r="11" spans="1:16" ht="18.75" x14ac:dyDescent="0.25">
      <c r="A11" s="22">
        <v>9</v>
      </c>
      <c r="B11" s="22">
        <v>1</v>
      </c>
      <c r="C11" s="22" t="s">
        <v>73</v>
      </c>
      <c r="D11" s="24">
        <v>1080</v>
      </c>
      <c r="E11" s="22">
        <v>1</v>
      </c>
      <c r="F11" s="22" t="s">
        <v>41</v>
      </c>
      <c r="G11" s="37" t="s">
        <v>74</v>
      </c>
      <c r="H11" s="25"/>
      <c r="I11" s="25"/>
      <c r="J11" s="21"/>
      <c r="O11">
        <v>9</v>
      </c>
    </row>
    <row r="12" spans="1:16" ht="18.75" x14ac:dyDescent="0.25">
      <c r="A12" s="22">
        <v>10</v>
      </c>
      <c r="B12" s="22">
        <v>1</v>
      </c>
      <c r="C12" s="22" t="s">
        <v>75</v>
      </c>
      <c r="D12" s="24">
        <v>1170</v>
      </c>
      <c r="E12" s="22">
        <v>1</v>
      </c>
      <c r="F12" s="22" t="s">
        <v>20</v>
      </c>
      <c r="G12" s="37" t="s">
        <v>76</v>
      </c>
      <c r="O12">
        <v>10</v>
      </c>
    </row>
    <row r="13" spans="1:16" ht="18.75" x14ac:dyDescent="0.25">
      <c r="A13" s="22">
        <v>11</v>
      </c>
      <c r="B13" s="22">
        <v>1</v>
      </c>
      <c r="C13" s="22" t="s">
        <v>77</v>
      </c>
      <c r="D13" s="24">
        <v>1170</v>
      </c>
      <c r="E13" s="22">
        <v>1</v>
      </c>
      <c r="F13" s="22" t="s">
        <v>22</v>
      </c>
      <c r="G13" s="37" t="s">
        <v>78</v>
      </c>
      <c r="O13">
        <v>11</v>
      </c>
    </row>
    <row r="14" spans="1:16" ht="18.75" x14ac:dyDescent="0.25">
      <c r="A14" s="22">
        <v>12</v>
      </c>
      <c r="B14" s="22">
        <v>1</v>
      </c>
      <c r="C14" s="22" t="s">
        <v>79</v>
      </c>
      <c r="D14" s="24">
        <v>1170</v>
      </c>
      <c r="E14" s="22">
        <v>1</v>
      </c>
      <c r="F14" s="22" t="s">
        <v>22</v>
      </c>
      <c r="G14" s="37" t="s">
        <v>80</v>
      </c>
      <c r="O14">
        <v>12</v>
      </c>
    </row>
    <row r="15" spans="1:16" ht="37.5" x14ac:dyDescent="0.25">
      <c r="A15" s="22">
        <v>13</v>
      </c>
      <c r="B15" s="22">
        <v>1</v>
      </c>
      <c r="C15" s="22" t="s">
        <v>81</v>
      </c>
      <c r="D15" s="24">
        <v>2691</v>
      </c>
      <c r="E15" s="22">
        <v>1</v>
      </c>
      <c r="F15" s="22" t="s">
        <v>22</v>
      </c>
      <c r="G15" s="37" t="s">
        <v>82</v>
      </c>
    </row>
    <row r="16" spans="1:16" ht="18.75" x14ac:dyDescent="0.25">
      <c r="A16" s="22">
        <v>14</v>
      </c>
      <c r="P16">
        <v>13</v>
      </c>
    </row>
    <row r="17" spans="1:7" ht="18.75" x14ac:dyDescent="0.25">
      <c r="A17" s="22">
        <v>15</v>
      </c>
    </row>
    <row r="18" spans="1:7" ht="18.75" x14ac:dyDescent="0.25">
      <c r="A18" s="22"/>
      <c r="B18" s="22"/>
      <c r="C18" s="22"/>
      <c r="D18" s="24"/>
      <c r="E18" s="22"/>
      <c r="F18" s="22"/>
      <c r="G18" s="37"/>
    </row>
    <row r="19" spans="1:7" ht="18.75" x14ac:dyDescent="0.25">
      <c r="A19" s="22"/>
      <c r="B19" s="22"/>
      <c r="C19" s="22"/>
      <c r="D19" s="24"/>
      <c r="E19" s="22"/>
      <c r="F19" s="22"/>
      <c r="G19" s="37"/>
    </row>
    <row r="20" spans="1:7" ht="18.75" x14ac:dyDescent="0.25">
      <c r="A20" s="22"/>
      <c r="B20" s="22"/>
      <c r="C20" s="22"/>
      <c r="D20" s="24"/>
      <c r="E20" s="22"/>
      <c r="F20" s="22"/>
      <c r="G20" s="37"/>
    </row>
    <row r="21" spans="1:7" ht="18.75" x14ac:dyDescent="0.25">
      <c r="A21" s="22"/>
      <c r="B21" s="22"/>
      <c r="C21" s="22"/>
      <c r="D21" s="24"/>
      <c r="E21" s="22"/>
      <c r="F21" s="22"/>
      <c r="G21" s="37"/>
    </row>
  </sheetData>
  <mergeCells count="1">
    <mergeCell ref="A1:I1"/>
  </mergeCells>
  <dataValidations count="2">
    <dataValidation type="whole" allowBlank="1" showInputMessage="1" showErrorMessage="1" sqref="K7" xr:uid="{6627E5F4-FCDA-444F-B420-3745BCBA3B3A}">
      <formula1>1</formula1>
      <formula2>12</formula2>
    </dataValidation>
    <dataValidation type="list" showInputMessage="1" showErrorMessage="1" sqref="K6" xr:uid="{C512055E-B600-4E41-8C27-F4EAA402BB8C}">
      <formula1>$O$3:$O$14</formula1>
    </dataValidation>
  </dataValidations>
  <pageMargins left="0" right="0" top="0" bottom="0" header="0" footer="0"/>
  <pageSetup paperSize="9" scale="59" fitToHeight="0" orientation="landscape" cellComments="atEnd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fitToPage="1"/>
  </sheetPr>
  <dimension ref="A1:G1000"/>
  <sheetViews>
    <sheetView topLeftCell="B1" workbookViewId="0">
      <pane ySplit="2" topLeftCell="A3" activePane="bottomLeft" state="frozen"/>
      <selection pane="bottomLeft" sqref="A1:XFD1"/>
    </sheetView>
  </sheetViews>
  <sheetFormatPr defaultColWidth="12.5703125" defaultRowHeight="15" customHeight="1" x14ac:dyDescent="0.2"/>
  <cols>
    <col min="1" max="1" width="14.140625" customWidth="1"/>
    <col min="2" max="2" width="17.42578125" customWidth="1"/>
    <col min="3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.75" customHeight="1" x14ac:dyDescent="0.3">
      <c r="A1" s="30" t="str">
        <f>_xlfn.CONCAT("Controle Interno de Pedidos                                                             DATA: ",UPPER(TEXT(DATE(2024,7,1),"MMMM YYYY")))</f>
        <v>Controle Interno de Pedidos                                                             DATA: JULHO YYYY</v>
      </c>
      <c r="B1" s="31"/>
      <c r="C1" s="31"/>
      <c r="D1" s="31"/>
      <c r="E1" s="31"/>
      <c r="F1" s="31"/>
      <c r="G1" s="32"/>
    </row>
    <row r="2" spans="1:7" s="19" customFormat="1" ht="18.75" customHeight="1" x14ac:dyDescent="0.3">
      <c r="A2" s="16" t="s">
        <v>54</v>
      </c>
      <c r="B2" s="17" t="s">
        <v>0</v>
      </c>
      <c r="C2" s="17" t="s">
        <v>1</v>
      </c>
      <c r="D2" s="17" t="s">
        <v>2</v>
      </c>
      <c r="E2" s="17" t="s">
        <v>3</v>
      </c>
      <c r="F2" s="17" t="s">
        <v>4</v>
      </c>
      <c r="G2" s="18" t="s">
        <v>5</v>
      </c>
    </row>
    <row r="3" spans="1:7" ht="15.75" customHeight="1" x14ac:dyDescent="0.25">
      <c r="A3" s="10">
        <v>1</v>
      </c>
      <c r="B3" s="4"/>
      <c r="C3" s="4"/>
      <c r="D3" s="5"/>
      <c r="E3" s="4"/>
      <c r="F3" s="4"/>
      <c r="G3" s="11"/>
    </row>
    <row r="4" spans="1:7" ht="15.75" customHeight="1" x14ac:dyDescent="0.25">
      <c r="A4" s="10">
        <v>2</v>
      </c>
      <c r="B4" s="4"/>
      <c r="C4" s="4"/>
      <c r="D4" s="5"/>
      <c r="E4" s="4"/>
      <c r="F4" s="4"/>
      <c r="G4" s="11"/>
    </row>
    <row r="5" spans="1:7" ht="15.75" customHeight="1" x14ac:dyDescent="0.25">
      <c r="A5" s="10">
        <v>3</v>
      </c>
      <c r="B5" s="6"/>
      <c r="C5" s="6"/>
      <c r="D5" s="7"/>
      <c r="E5" s="6"/>
      <c r="F5" s="6"/>
      <c r="G5" s="11"/>
    </row>
    <row r="6" spans="1:7" ht="15.75" customHeight="1" x14ac:dyDescent="0.25">
      <c r="A6" s="10">
        <v>4</v>
      </c>
      <c r="B6" s="4"/>
      <c r="C6" s="4"/>
      <c r="D6" s="5"/>
      <c r="E6" s="4"/>
      <c r="F6" s="4"/>
      <c r="G6" s="11"/>
    </row>
    <row r="7" spans="1:7" ht="15.75" customHeight="1" x14ac:dyDescent="0.25">
      <c r="A7" s="10">
        <v>5</v>
      </c>
      <c r="B7" s="4"/>
      <c r="C7" s="4"/>
      <c r="D7" s="5"/>
      <c r="E7" s="4"/>
      <c r="F7" s="4"/>
      <c r="G7" s="11"/>
    </row>
    <row r="8" spans="1:7" ht="15.75" customHeight="1" x14ac:dyDescent="0.25">
      <c r="A8" s="10">
        <v>6</v>
      </c>
      <c r="B8" s="4"/>
      <c r="C8" s="4"/>
      <c r="D8" s="5"/>
      <c r="E8" s="4"/>
      <c r="F8" s="4"/>
      <c r="G8" s="11"/>
    </row>
    <row r="9" spans="1:7" ht="15.75" customHeight="1" x14ac:dyDescent="0.25">
      <c r="A9" s="10">
        <v>7</v>
      </c>
      <c r="B9" s="4"/>
      <c r="C9" s="4"/>
      <c r="D9" s="5"/>
      <c r="E9" s="4"/>
      <c r="F9" s="4"/>
      <c r="G9" s="11"/>
    </row>
    <row r="10" spans="1:7" ht="15.75" customHeight="1" x14ac:dyDescent="0.25">
      <c r="A10" s="10">
        <v>8</v>
      </c>
      <c r="B10" s="4"/>
      <c r="C10" s="4"/>
      <c r="D10" s="5"/>
      <c r="E10" s="4"/>
      <c r="F10" s="4"/>
      <c r="G10" s="11"/>
    </row>
    <row r="11" spans="1:7" ht="15.75" customHeight="1" x14ac:dyDescent="0.25">
      <c r="A11" s="10">
        <v>9</v>
      </c>
      <c r="B11" s="4"/>
      <c r="C11" s="4"/>
      <c r="D11" s="5"/>
      <c r="E11" s="4"/>
      <c r="F11" s="4"/>
      <c r="G11" s="11"/>
    </row>
    <row r="12" spans="1:7" ht="15.75" customHeight="1" x14ac:dyDescent="0.25">
      <c r="A12" s="10">
        <v>10</v>
      </c>
      <c r="B12" s="4"/>
      <c r="C12" s="4"/>
      <c r="D12" s="5"/>
      <c r="E12" s="4"/>
      <c r="F12" s="4"/>
      <c r="G12" s="11"/>
    </row>
    <row r="13" spans="1:7" ht="15.75" customHeight="1" x14ac:dyDescent="0.25">
      <c r="A13" s="10">
        <v>11</v>
      </c>
      <c r="B13" s="4"/>
      <c r="C13" s="4"/>
      <c r="D13" s="5"/>
      <c r="E13" s="4"/>
      <c r="F13" s="4"/>
      <c r="G13" s="11"/>
    </row>
    <row r="14" spans="1:7" ht="15.75" customHeight="1" x14ac:dyDescent="0.25">
      <c r="A14" s="10">
        <v>12</v>
      </c>
      <c r="B14" s="8"/>
      <c r="C14" s="8"/>
      <c r="D14" s="7"/>
      <c r="E14" s="8"/>
      <c r="F14" s="8"/>
      <c r="G14" s="11"/>
    </row>
    <row r="15" spans="1:7" ht="15.75" customHeight="1" x14ac:dyDescent="0.25">
      <c r="A15" s="10">
        <v>13</v>
      </c>
      <c r="B15" s="8"/>
      <c r="C15" s="8"/>
      <c r="D15" s="7"/>
      <c r="E15" s="8"/>
      <c r="F15" s="8"/>
      <c r="G15" s="11"/>
    </row>
    <row r="16" spans="1:7" ht="15.75" customHeight="1" x14ac:dyDescent="0.25">
      <c r="A16" s="10">
        <v>14</v>
      </c>
      <c r="B16" s="8"/>
      <c r="C16" s="8"/>
      <c r="D16" s="7"/>
      <c r="E16" s="8"/>
      <c r="F16" s="8"/>
      <c r="G16" s="11"/>
    </row>
    <row r="17" spans="1:7" ht="15.75" customHeight="1" x14ac:dyDescent="0.25">
      <c r="A17" s="10">
        <v>15</v>
      </c>
      <c r="B17" s="8"/>
      <c r="C17" s="8"/>
      <c r="D17" s="7"/>
      <c r="E17" s="8"/>
      <c r="F17" s="8"/>
      <c r="G17" s="11"/>
    </row>
    <row r="18" spans="1:7" ht="15.75" customHeight="1" x14ac:dyDescent="0.25">
      <c r="A18" s="10">
        <v>16</v>
      </c>
      <c r="B18" s="8"/>
      <c r="C18" s="8"/>
      <c r="D18" s="7"/>
      <c r="E18" s="8"/>
      <c r="F18" s="8"/>
      <c r="G18" s="11"/>
    </row>
    <row r="19" spans="1:7" ht="15.75" customHeight="1" x14ac:dyDescent="0.25">
      <c r="A19" s="10">
        <v>17</v>
      </c>
      <c r="B19" s="8"/>
      <c r="C19" s="8"/>
      <c r="D19" s="7"/>
      <c r="E19" s="8"/>
      <c r="F19" s="8"/>
      <c r="G19" s="11"/>
    </row>
    <row r="20" spans="1:7" ht="15.75" customHeight="1" x14ac:dyDescent="0.25">
      <c r="A20" s="10">
        <v>18</v>
      </c>
      <c r="B20" s="8"/>
      <c r="C20" s="8"/>
      <c r="D20" s="7"/>
      <c r="E20" s="8"/>
      <c r="F20" s="8"/>
      <c r="G20" s="11"/>
    </row>
    <row r="21" spans="1:7" ht="15.75" customHeight="1" x14ac:dyDescent="0.25">
      <c r="A21" s="10">
        <v>19</v>
      </c>
      <c r="B21" s="8"/>
      <c r="C21" s="8"/>
      <c r="D21" s="7"/>
      <c r="E21" s="8"/>
      <c r="F21" s="8"/>
      <c r="G21" s="11"/>
    </row>
    <row r="22" spans="1:7" ht="15.75" customHeight="1" x14ac:dyDescent="0.25">
      <c r="A22" s="10">
        <v>20</v>
      </c>
      <c r="B22" s="8"/>
      <c r="C22" s="8"/>
      <c r="D22" s="7"/>
      <c r="E22" s="8"/>
      <c r="F22" s="8"/>
      <c r="G22" s="11"/>
    </row>
    <row r="23" spans="1:7" ht="15.75" customHeight="1" x14ac:dyDescent="0.25">
      <c r="A23" s="10">
        <v>21</v>
      </c>
      <c r="B23" s="8"/>
      <c r="C23" s="8"/>
      <c r="D23" s="7"/>
      <c r="E23" s="8"/>
      <c r="F23" s="8"/>
      <c r="G23" s="11"/>
    </row>
    <row r="24" spans="1:7" ht="15.75" customHeight="1" x14ac:dyDescent="0.25">
      <c r="A24" s="10">
        <v>22</v>
      </c>
      <c r="B24" s="8"/>
      <c r="C24" s="8"/>
      <c r="D24" s="7"/>
      <c r="E24" s="8"/>
      <c r="F24" s="8"/>
      <c r="G24" s="11"/>
    </row>
    <row r="25" spans="1:7" ht="15.75" customHeight="1" x14ac:dyDescent="0.25">
      <c r="A25" s="10">
        <v>23</v>
      </c>
      <c r="B25" s="8"/>
      <c r="C25" s="8"/>
      <c r="D25" s="7"/>
      <c r="E25" s="8"/>
      <c r="F25" s="8"/>
      <c r="G25" s="11"/>
    </row>
    <row r="26" spans="1:7" ht="15.75" customHeight="1" x14ac:dyDescent="0.25">
      <c r="A26" s="12">
        <v>24</v>
      </c>
      <c r="B26" s="13"/>
      <c r="C26" s="13"/>
      <c r="D26" s="14"/>
      <c r="E26" s="13"/>
      <c r="F26" s="13"/>
      <c r="G26" s="15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3" width="12.5703125" customWidth="1"/>
    <col min="4" max="4" width="15" customWidth="1"/>
    <col min="5" max="6" width="12.5703125" customWidth="1"/>
    <col min="7" max="7" width="91.85546875" customWidth="1"/>
  </cols>
  <sheetData>
    <row r="1" spans="1:7" ht="42" customHeight="1" x14ac:dyDescent="0.2">
      <c r="A1" s="33" t="e">
        <f ca="1">_xludf.CONCAT("Controle Interno de Pedidos                                                             DATA: ",UPPER(TEXT(DATE(2024,6,1),"MMMM YYYY")))</f>
        <v>#NAME?</v>
      </c>
      <c r="B1" s="34"/>
      <c r="C1" s="34"/>
      <c r="D1" s="34"/>
      <c r="E1" s="34"/>
      <c r="F1" s="34"/>
      <c r="G1" s="35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4">
        <v>724145</v>
      </c>
      <c r="C3" s="4">
        <v>1</v>
      </c>
      <c r="D3" s="5">
        <v>88</v>
      </c>
      <c r="E3" s="4" t="s">
        <v>6</v>
      </c>
      <c r="F3" s="4" t="s">
        <v>7</v>
      </c>
      <c r="G3" s="4" t="s">
        <v>8</v>
      </c>
    </row>
    <row r="4" spans="1:7" ht="15.75" customHeight="1" x14ac:dyDescent="0.25">
      <c r="A4" s="3">
        <v>2</v>
      </c>
      <c r="B4" s="4">
        <v>725860</v>
      </c>
      <c r="C4" s="4">
        <v>1</v>
      </c>
      <c r="D4" s="5">
        <v>85</v>
      </c>
      <c r="E4" s="4" t="s">
        <v>6</v>
      </c>
      <c r="F4" s="4" t="s">
        <v>9</v>
      </c>
      <c r="G4" s="4" t="s">
        <v>10</v>
      </c>
    </row>
    <row r="5" spans="1:7" ht="15.75" customHeight="1" x14ac:dyDescent="0.25">
      <c r="A5" s="3">
        <v>3</v>
      </c>
      <c r="B5" s="6">
        <v>727241</v>
      </c>
      <c r="C5" s="6">
        <v>1</v>
      </c>
      <c r="D5" s="7">
        <v>189.9</v>
      </c>
      <c r="E5" s="6" t="s">
        <v>6</v>
      </c>
      <c r="F5" s="6" t="s">
        <v>11</v>
      </c>
      <c r="G5" s="6" t="s">
        <v>12</v>
      </c>
    </row>
    <row r="6" spans="1:7" ht="15.75" customHeight="1" x14ac:dyDescent="0.25">
      <c r="A6" s="3">
        <v>4</v>
      </c>
      <c r="B6" s="4">
        <v>726008</v>
      </c>
      <c r="C6" s="4">
        <v>1</v>
      </c>
      <c r="D6" s="5">
        <v>219.99</v>
      </c>
      <c r="E6" s="4" t="s">
        <v>6</v>
      </c>
      <c r="F6" s="4" t="s">
        <v>13</v>
      </c>
      <c r="G6" s="4" t="s">
        <v>14</v>
      </c>
    </row>
    <row r="7" spans="1:7" ht="15.75" customHeight="1" x14ac:dyDescent="0.25">
      <c r="A7" s="3">
        <v>5</v>
      </c>
      <c r="B7" s="4">
        <v>724989</v>
      </c>
      <c r="C7" s="4">
        <v>1</v>
      </c>
      <c r="D7" s="5">
        <v>260</v>
      </c>
      <c r="E7" s="4" t="s">
        <v>6</v>
      </c>
      <c r="F7" s="4" t="s">
        <v>13</v>
      </c>
      <c r="G7" s="4" t="s">
        <v>15</v>
      </c>
    </row>
    <row r="8" spans="1:7" ht="15.75" customHeight="1" x14ac:dyDescent="0.25">
      <c r="A8" s="3">
        <v>6</v>
      </c>
      <c r="B8" s="4">
        <v>726857</v>
      </c>
      <c r="C8" s="4">
        <v>1</v>
      </c>
      <c r="D8" s="5">
        <v>360</v>
      </c>
      <c r="E8" s="4" t="s">
        <v>6</v>
      </c>
      <c r="F8" s="4" t="s">
        <v>16</v>
      </c>
      <c r="G8" s="4" t="s">
        <v>17</v>
      </c>
    </row>
    <row r="9" spans="1:7" ht="15.75" customHeight="1" x14ac:dyDescent="0.25">
      <c r="A9" s="3">
        <v>7</v>
      </c>
      <c r="B9" s="4">
        <v>725077</v>
      </c>
      <c r="C9" s="4">
        <v>1</v>
      </c>
      <c r="D9" s="5">
        <v>145</v>
      </c>
      <c r="E9" s="4" t="s">
        <v>6</v>
      </c>
      <c r="F9" s="4" t="s">
        <v>18</v>
      </c>
      <c r="G9" s="4" t="s">
        <v>19</v>
      </c>
    </row>
    <row r="10" spans="1:7" ht="15.75" customHeight="1" x14ac:dyDescent="0.25">
      <c r="A10" s="3">
        <v>8</v>
      </c>
      <c r="B10" s="4">
        <v>723901</v>
      </c>
      <c r="C10" s="4">
        <v>1</v>
      </c>
      <c r="D10" s="5">
        <v>116</v>
      </c>
      <c r="E10" s="4" t="s">
        <v>6</v>
      </c>
      <c r="F10" s="4" t="s">
        <v>20</v>
      </c>
      <c r="G10" s="4" t="s">
        <v>21</v>
      </c>
    </row>
    <row r="11" spans="1:7" ht="15.75" customHeight="1" x14ac:dyDescent="0.25">
      <c r="A11" s="3">
        <v>9</v>
      </c>
      <c r="B11" s="4">
        <v>725173</v>
      </c>
      <c r="C11" s="4">
        <v>1</v>
      </c>
      <c r="D11" s="5">
        <v>80</v>
      </c>
      <c r="E11" s="4" t="s">
        <v>6</v>
      </c>
      <c r="F11" s="4" t="s">
        <v>22</v>
      </c>
      <c r="G11" s="4" t="s">
        <v>23</v>
      </c>
    </row>
    <row r="12" spans="1:7" ht="15.75" customHeight="1" x14ac:dyDescent="0.25">
      <c r="A12" s="3">
        <v>10</v>
      </c>
      <c r="B12" s="4">
        <v>726989</v>
      </c>
      <c r="C12" s="4">
        <v>1</v>
      </c>
      <c r="D12" s="5">
        <v>505</v>
      </c>
      <c r="E12" s="4" t="s">
        <v>6</v>
      </c>
      <c r="F12" s="4" t="s">
        <v>22</v>
      </c>
      <c r="G12" s="4" t="s">
        <v>24</v>
      </c>
    </row>
    <row r="13" spans="1:7" ht="15.75" customHeight="1" x14ac:dyDescent="0.25">
      <c r="A13" s="3">
        <v>11</v>
      </c>
      <c r="B13" s="4">
        <v>727245</v>
      </c>
      <c r="C13" s="4">
        <v>1</v>
      </c>
      <c r="D13" s="5">
        <v>749.9</v>
      </c>
      <c r="E13" s="4" t="s">
        <v>6</v>
      </c>
      <c r="F13" s="4" t="s">
        <v>25</v>
      </c>
      <c r="G13" s="4" t="s">
        <v>26</v>
      </c>
    </row>
    <row r="14" spans="1:7" ht="15.75" customHeight="1" x14ac:dyDescent="0.25">
      <c r="A14" s="3">
        <v>12</v>
      </c>
      <c r="B14" s="8"/>
      <c r="C14" s="8"/>
      <c r="D14" s="7"/>
      <c r="E14" s="8"/>
      <c r="F14" s="8"/>
      <c r="G14" s="8"/>
    </row>
    <row r="15" spans="1:7" ht="15.75" customHeight="1" x14ac:dyDescent="0.25">
      <c r="A15" s="3">
        <v>13</v>
      </c>
      <c r="B15" s="8"/>
      <c r="C15" s="8"/>
      <c r="D15" s="7"/>
      <c r="E15" s="8"/>
      <c r="F15" s="8"/>
      <c r="G15" s="8"/>
    </row>
    <row r="16" spans="1:7" ht="15.75" customHeight="1" x14ac:dyDescent="0.25">
      <c r="A16" s="3">
        <v>14</v>
      </c>
      <c r="B16" s="8"/>
      <c r="C16" s="8"/>
      <c r="D16" s="7"/>
      <c r="E16" s="8"/>
      <c r="F16" s="8"/>
      <c r="G16" s="8"/>
    </row>
    <row r="17" spans="1:7" ht="15.75" customHeight="1" x14ac:dyDescent="0.25">
      <c r="A17" s="3">
        <v>15</v>
      </c>
      <c r="B17" s="8"/>
      <c r="C17" s="8"/>
      <c r="D17" s="7"/>
      <c r="E17" s="8"/>
      <c r="F17" s="8"/>
      <c r="G17" s="8"/>
    </row>
    <row r="18" spans="1:7" ht="15.75" customHeight="1" x14ac:dyDescent="0.25">
      <c r="A18" s="3">
        <v>16</v>
      </c>
      <c r="B18" s="8"/>
      <c r="C18" s="8"/>
      <c r="D18" s="7"/>
      <c r="E18" s="8"/>
      <c r="F18" s="8"/>
      <c r="G18" s="8"/>
    </row>
    <row r="19" spans="1:7" ht="15.75" customHeight="1" x14ac:dyDescent="0.25">
      <c r="A19" s="3">
        <v>17</v>
      </c>
      <c r="B19" s="8"/>
      <c r="C19" s="8"/>
      <c r="D19" s="7"/>
      <c r="E19" s="8"/>
      <c r="F19" s="8"/>
      <c r="G19" s="8"/>
    </row>
    <row r="20" spans="1:7" ht="15.75" customHeight="1" x14ac:dyDescent="0.25">
      <c r="A20" s="3">
        <v>18</v>
      </c>
      <c r="B20" s="8"/>
      <c r="C20" s="8"/>
      <c r="D20" s="7"/>
      <c r="E20" s="8"/>
      <c r="F20" s="8"/>
      <c r="G20" s="8"/>
    </row>
    <row r="21" spans="1:7" ht="15.75" customHeight="1" x14ac:dyDescent="0.25">
      <c r="A21" s="3">
        <v>19</v>
      </c>
      <c r="B21" s="8"/>
      <c r="C21" s="8"/>
      <c r="D21" s="7"/>
      <c r="E21" s="8"/>
      <c r="F21" s="8"/>
      <c r="G21" s="8"/>
    </row>
    <row r="22" spans="1:7" ht="15.75" customHeight="1" x14ac:dyDescent="0.25">
      <c r="A22" s="3">
        <v>20</v>
      </c>
      <c r="B22" s="8"/>
      <c r="C22" s="8"/>
      <c r="D22" s="7"/>
      <c r="E22" s="8"/>
      <c r="F22" s="8"/>
      <c r="G22" s="8"/>
    </row>
    <row r="23" spans="1:7" ht="15.75" customHeight="1" x14ac:dyDescent="0.25">
      <c r="A23" s="3">
        <v>21</v>
      </c>
      <c r="B23" s="8"/>
      <c r="C23" s="8"/>
      <c r="D23" s="7"/>
      <c r="E23" s="8"/>
      <c r="F23" s="8"/>
      <c r="G23" s="8"/>
    </row>
    <row r="24" spans="1:7" ht="15.75" customHeight="1" x14ac:dyDescent="0.25">
      <c r="A24" s="3">
        <v>22</v>
      </c>
      <c r="B24" s="8"/>
      <c r="C24" s="8"/>
      <c r="D24" s="7"/>
      <c r="E24" s="8"/>
      <c r="F24" s="8"/>
      <c r="G24" s="8"/>
    </row>
    <row r="25" spans="1:7" ht="15.75" customHeight="1" x14ac:dyDescent="0.25">
      <c r="A25" s="3">
        <v>23</v>
      </c>
      <c r="B25" s="8"/>
      <c r="C25" s="8"/>
      <c r="D25" s="7"/>
      <c r="E25" s="8"/>
      <c r="F25" s="8"/>
      <c r="G25" s="8"/>
    </row>
    <row r="26" spans="1:7" ht="15.75" customHeight="1" x14ac:dyDescent="0.25">
      <c r="A26" s="3">
        <v>24</v>
      </c>
      <c r="B26" s="8"/>
      <c r="C26" s="8"/>
      <c r="D26" s="7"/>
      <c r="E26" s="8"/>
      <c r="F26" s="8"/>
      <c r="G26" s="8"/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outlinePr summaryBelow="0" summaryRight="0"/>
    <pageSetUpPr fitToPage="1"/>
  </sheetPr>
  <dimension ref="A1:G1000"/>
  <sheetViews>
    <sheetView workbookViewId="0">
      <pane ySplit="2" topLeftCell="A3" activePane="bottomLeft" state="frozen"/>
      <selection pane="bottomLeft" activeCell="B4" sqref="B4"/>
    </sheetView>
  </sheetViews>
  <sheetFormatPr defaultColWidth="12.5703125" defaultRowHeight="15" customHeight="1" x14ac:dyDescent="0.2"/>
  <cols>
    <col min="1" max="1" width="5.140625" customWidth="1"/>
    <col min="2" max="6" width="12.5703125" customWidth="1"/>
    <col min="7" max="7" width="91.85546875" customWidth="1"/>
  </cols>
  <sheetData>
    <row r="1" spans="1:7" ht="42" customHeight="1" x14ac:dyDescent="0.2">
      <c r="A1" s="33" t="e">
        <f ca="1">_xludf.CONCAT("Controle Interno de Pedidos                                                             DATA: ",UPPER(TEXT(DATE(2024,5,1),"MMMM YYYY")))</f>
        <v>#NAME?</v>
      </c>
      <c r="B1" s="34"/>
      <c r="C1" s="34"/>
      <c r="D1" s="34"/>
      <c r="E1" s="34"/>
      <c r="F1" s="34"/>
      <c r="G1" s="35"/>
    </row>
    <row r="2" spans="1:7" ht="15.75" customHeight="1" x14ac:dyDescent="0.25">
      <c r="A2" s="1"/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</row>
    <row r="3" spans="1:7" ht="15.75" customHeight="1" x14ac:dyDescent="0.25">
      <c r="A3" s="3">
        <v>1</v>
      </c>
      <c r="B3" s="8">
        <v>720372</v>
      </c>
      <c r="C3" s="8">
        <v>1</v>
      </c>
      <c r="D3" s="7">
        <v>217.99</v>
      </c>
      <c r="E3" s="8">
        <v>1</v>
      </c>
      <c r="F3" s="9" t="s">
        <v>27</v>
      </c>
      <c r="G3" s="9" t="s">
        <v>28</v>
      </c>
    </row>
    <row r="4" spans="1:7" ht="15.75" customHeight="1" x14ac:dyDescent="0.25">
      <c r="A4" s="3">
        <v>2</v>
      </c>
      <c r="B4" s="8">
        <v>721771</v>
      </c>
      <c r="C4" s="8">
        <v>1</v>
      </c>
      <c r="D4" s="7">
        <v>180</v>
      </c>
      <c r="E4" s="8">
        <v>1</v>
      </c>
      <c r="F4" s="9" t="s">
        <v>27</v>
      </c>
      <c r="G4" s="9" t="s">
        <v>29</v>
      </c>
    </row>
    <row r="5" spans="1:7" ht="15.75" customHeight="1" x14ac:dyDescent="0.25">
      <c r="A5" s="3">
        <v>3</v>
      </c>
      <c r="B5" s="8">
        <v>721227</v>
      </c>
      <c r="C5" s="8">
        <v>1</v>
      </c>
      <c r="D5" s="7">
        <v>225</v>
      </c>
      <c r="E5" s="8">
        <v>1</v>
      </c>
      <c r="F5" s="9" t="s">
        <v>9</v>
      </c>
      <c r="G5" s="9" t="s">
        <v>30</v>
      </c>
    </row>
    <row r="6" spans="1:7" ht="15.75" customHeight="1" x14ac:dyDescent="0.25">
      <c r="A6" s="3">
        <v>4</v>
      </c>
      <c r="B6" s="8">
        <v>721637</v>
      </c>
      <c r="C6" s="8">
        <v>1</v>
      </c>
      <c r="D6" s="7">
        <v>183</v>
      </c>
      <c r="E6" s="8">
        <v>1</v>
      </c>
      <c r="F6" s="9" t="s">
        <v>9</v>
      </c>
      <c r="G6" s="9" t="s">
        <v>31</v>
      </c>
    </row>
    <row r="7" spans="1:7" ht="15.75" customHeight="1" x14ac:dyDescent="0.25">
      <c r="A7" s="3">
        <v>5</v>
      </c>
      <c r="B7" s="8">
        <v>719992</v>
      </c>
      <c r="C7" s="8">
        <v>1</v>
      </c>
      <c r="D7" s="7">
        <v>402</v>
      </c>
      <c r="E7" s="8">
        <v>1</v>
      </c>
      <c r="F7" s="9" t="s">
        <v>9</v>
      </c>
      <c r="G7" s="9" t="s">
        <v>32</v>
      </c>
    </row>
    <row r="8" spans="1:7" ht="15.75" customHeight="1" x14ac:dyDescent="0.25">
      <c r="A8" s="3">
        <v>6</v>
      </c>
      <c r="B8" s="8">
        <v>720529</v>
      </c>
      <c r="C8" s="8">
        <v>1</v>
      </c>
      <c r="D8" s="7">
        <v>226</v>
      </c>
      <c r="E8" s="8">
        <v>1</v>
      </c>
      <c r="F8" s="9" t="s">
        <v>9</v>
      </c>
      <c r="G8" s="9" t="s">
        <v>33</v>
      </c>
    </row>
    <row r="9" spans="1:7" ht="15.75" customHeight="1" x14ac:dyDescent="0.25">
      <c r="A9" s="3">
        <v>7</v>
      </c>
      <c r="B9" s="8">
        <v>720453</v>
      </c>
      <c r="C9" s="8">
        <v>1</v>
      </c>
      <c r="D9" s="7">
        <v>452</v>
      </c>
      <c r="E9" s="8">
        <v>1</v>
      </c>
      <c r="F9" s="9" t="s">
        <v>9</v>
      </c>
      <c r="G9" s="9" t="s">
        <v>33</v>
      </c>
    </row>
    <row r="10" spans="1:7" ht="15.75" customHeight="1" x14ac:dyDescent="0.25">
      <c r="A10" s="3">
        <v>8</v>
      </c>
      <c r="B10" s="8">
        <v>721278</v>
      </c>
      <c r="C10" s="8">
        <v>1</v>
      </c>
      <c r="D10" s="7">
        <v>159.99</v>
      </c>
      <c r="E10" s="8">
        <v>1</v>
      </c>
      <c r="F10" s="9" t="s">
        <v>34</v>
      </c>
      <c r="G10" s="9" t="s">
        <v>35</v>
      </c>
    </row>
    <row r="11" spans="1:7" ht="15.75" customHeight="1" x14ac:dyDescent="0.25">
      <c r="A11" s="3">
        <v>9</v>
      </c>
      <c r="B11" s="8">
        <v>721829</v>
      </c>
      <c r="C11" s="8">
        <v>1</v>
      </c>
      <c r="D11" s="7">
        <v>535</v>
      </c>
      <c r="E11" s="8">
        <v>1</v>
      </c>
      <c r="F11" s="9" t="s">
        <v>34</v>
      </c>
      <c r="G11" s="9" t="s">
        <v>36</v>
      </c>
    </row>
    <row r="12" spans="1:7" ht="15.75" customHeight="1" x14ac:dyDescent="0.25">
      <c r="A12" s="3">
        <v>10</v>
      </c>
      <c r="B12" s="8">
        <v>721795</v>
      </c>
      <c r="C12" s="8">
        <v>1</v>
      </c>
      <c r="D12" s="7">
        <v>580</v>
      </c>
      <c r="E12" s="8">
        <v>1</v>
      </c>
      <c r="F12" s="9" t="s">
        <v>34</v>
      </c>
      <c r="G12" s="9" t="s">
        <v>37</v>
      </c>
    </row>
    <row r="13" spans="1:7" ht="15.75" customHeight="1" x14ac:dyDescent="0.25">
      <c r="A13" s="3">
        <v>11</v>
      </c>
      <c r="B13" s="8">
        <v>720237</v>
      </c>
      <c r="C13" s="8">
        <v>1</v>
      </c>
      <c r="D13" s="7">
        <v>586</v>
      </c>
      <c r="E13" s="8">
        <v>1</v>
      </c>
      <c r="F13" s="9" t="s">
        <v>13</v>
      </c>
      <c r="G13" s="9" t="s">
        <v>38</v>
      </c>
    </row>
    <row r="14" spans="1:7" ht="15.75" customHeight="1" x14ac:dyDescent="0.25">
      <c r="A14" s="3">
        <v>12</v>
      </c>
      <c r="B14" s="8">
        <v>721537</v>
      </c>
      <c r="C14" s="8">
        <v>1</v>
      </c>
      <c r="D14" s="7">
        <v>266</v>
      </c>
      <c r="E14" s="8">
        <v>1</v>
      </c>
      <c r="F14" s="9" t="s">
        <v>13</v>
      </c>
      <c r="G14" s="9" t="s">
        <v>39</v>
      </c>
    </row>
    <row r="15" spans="1:7" ht="15.75" customHeight="1" x14ac:dyDescent="0.25">
      <c r="A15" s="3">
        <v>13</v>
      </c>
      <c r="B15" s="8">
        <v>719289</v>
      </c>
      <c r="C15" s="8">
        <v>1</v>
      </c>
      <c r="D15" s="7">
        <v>266</v>
      </c>
      <c r="E15" s="8">
        <v>1</v>
      </c>
      <c r="F15" s="9" t="s">
        <v>13</v>
      </c>
      <c r="G15" s="9" t="s">
        <v>40</v>
      </c>
    </row>
    <row r="16" spans="1:7" ht="15.75" customHeight="1" x14ac:dyDescent="0.25">
      <c r="A16" s="3">
        <v>14</v>
      </c>
      <c r="B16" s="8">
        <v>719930</v>
      </c>
      <c r="C16" s="8">
        <v>1</v>
      </c>
      <c r="D16" s="7">
        <v>175</v>
      </c>
      <c r="E16" s="8">
        <v>1</v>
      </c>
      <c r="F16" s="9" t="s">
        <v>41</v>
      </c>
      <c r="G16" s="9" t="s">
        <v>42</v>
      </c>
    </row>
    <row r="17" spans="1:7" ht="15.75" customHeight="1" x14ac:dyDescent="0.25">
      <c r="A17" s="3">
        <v>15</v>
      </c>
      <c r="B17" s="8">
        <v>719094</v>
      </c>
      <c r="C17" s="8">
        <v>1</v>
      </c>
      <c r="D17" s="7">
        <v>226</v>
      </c>
      <c r="E17" s="8">
        <v>1</v>
      </c>
      <c r="F17" s="9" t="s">
        <v>22</v>
      </c>
      <c r="G17" s="9" t="s">
        <v>43</v>
      </c>
    </row>
    <row r="18" spans="1:7" ht="15.75" customHeight="1" x14ac:dyDescent="0.25">
      <c r="A18" s="3">
        <v>16</v>
      </c>
      <c r="B18" s="8">
        <v>721225</v>
      </c>
      <c r="C18" s="8">
        <v>1</v>
      </c>
      <c r="D18" s="7">
        <v>101</v>
      </c>
      <c r="E18" s="8">
        <v>1</v>
      </c>
      <c r="F18" s="9" t="s">
        <v>22</v>
      </c>
      <c r="G18" s="9" t="s">
        <v>44</v>
      </c>
    </row>
    <row r="19" spans="1:7" ht="15.75" customHeight="1" x14ac:dyDescent="0.25">
      <c r="A19" s="3">
        <v>17</v>
      </c>
      <c r="B19" s="8">
        <v>720626</v>
      </c>
      <c r="C19" s="8">
        <v>1</v>
      </c>
      <c r="D19" s="7">
        <v>142</v>
      </c>
      <c r="E19" s="8">
        <v>1</v>
      </c>
      <c r="F19" s="9" t="s">
        <v>22</v>
      </c>
      <c r="G19" s="9" t="s">
        <v>45</v>
      </c>
    </row>
    <row r="20" spans="1:7" ht="15.75" customHeight="1" x14ac:dyDescent="0.25">
      <c r="A20" s="3">
        <v>18</v>
      </c>
      <c r="B20" s="8">
        <v>722853</v>
      </c>
      <c r="C20" s="8">
        <v>1</v>
      </c>
      <c r="D20" s="7">
        <v>199.9</v>
      </c>
      <c r="E20" s="8">
        <v>1</v>
      </c>
      <c r="F20" s="9" t="s">
        <v>34</v>
      </c>
      <c r="G20" s="9" t="s">
        <v>46</v>
      </c>
    </row>
    <row r="21" spans="1:7" ht="15.75" customHeight="1" x14ac:dyDescent="0.25">
      <c r="A21" s="3">
        <v>19</v>
      </c>
      <c r="B21" s="8">
        <v>722875</v>
      </c>
      <c r="C21" s="8">
        <v>1</v>
      </c>
      <c r="D21" s="7">
        <v>124.99</v>
      </c>
      <c r="E21" s="8">
        <v>1</v>
      </c>
      <c r="F21" s="9" t="s">
        <v>34</v>
      </c>
      <c r="G21" s="9" t="s">
        <v>47</v>
      </c>
    </row>
    <row r="22" spans="1:7" ht="15.75" customHeight="1" x14ac:dyDescent="0.25">
      <c r="A22" s="3">
        <v>20</v>
      </c>
      <c r="B22" s="8">
        <v>723052</v>
      </c>
      <c r="C22" s="8">
        <v>1</v>
      </c>
      <c r="D22" s="7">
        <v>124.99</v>
      </c>
      <c r="E22" s="8">
        <v>1</v>
      </c>
      <c r="F22" s="9" t="s">
        <v>11</v>
      </c>
      <c r="G22" s="9" t="s">
        <v>48</v>
      </c>
    </row>
    <row r="23" spans="1:7" ht="15.75" customHeight="1" x14ac:dyDescent="0.25">
      <c r="A23" s="3">
        <v>21</v>
      </c>
      <c r="B23" s="8">
        <v>723243</v>
      </c>
      <c r="C23" s="8">
        <v>1</v>
      </c>
      <c r="D23" s="7">
        <v>262</v>
      </c>
      <c r="E23" s="8">
        <v>1</v>
      </c>
      <c r="F23" s="9" t="s">
        <v>49</v>
      </c>
      <c r="G23" s="9" t="s">
        <v>50</v>
      </c>
    </row>
    <row r="24" spans="1:7" ht="15.75" customHeight="1" x14ac:dyDescent="0.25">
      <c r="A24" s="3">
        <v>22</v>
      </c>
      <c r="B24" s="8">
        <v>722789</v>
      </c>
      <c r="C24" s="8">
        <v>1</v>
      </c>
      <c r="D24" s="7">
        <v>293</v>
      </c>
      <c r="E24" s="8">
        <v>1</v>
      </c>
      <c r="F24" s="9" t="s">
        <v>20</v>
      </c>
      <c r="G24" s="9" t="s">
        <v>51</v>
      </c>
    </row>
    <row r="25" spans="1:7" ht="15.75" customHeight="1" x14ac:dyDescent="0.25">
      <c r="A25" s="3">
        <v>23</v>
      </c>
      <c r="B25" s="8">
        <v>723336</v>
      </c>
      <c r="C25" s="8">
        <v>1</v>
      </c>
      <c r="D25" s="7">
        <v>252</v>
      </c>
      <c r="E25" s="8">
        <v>1</v>
      </c>
      <c r="F25" s="9" t="s">
        <v>22</v>
      </c>
      <c r="G25" s="9" t="s">
        <v>52</v>
      </c>
    </row>
    <row r="26" spans="1:7" ht="15.75" customHeight="1" x14ac:dyDescent="0.25">
      <c r="A26" s="3">
        <v>24</v>
      </c>
      <c r="B26" s="8">
        <v>723588</v>
      </c>
      <c r="C26" s="8">
        <v>1</v>
      </c>
      <c r="D26" s="7">
        <v>640</v>
      </c>
      <c r="E26" s="8">
        <v>1</v>
      </c>
      <c r="F26" s="9" t="s">
        <v>22</v>
      </c>
      <c r="G26" s="9" t="s">
        <v>53</v>
      </c>
    </row>
    <row r="27" spans="1:7" ht="15.75" customHeight="1" x14ac:dyDescent="0.25">
      <c r="A27" s="3"/>
      <c r="B27" s="8"/>
      <c r="C27" s="8"/>
      <c r="D27" s="8"/>
      <c r="E27" s="8"/>
      <c r="F27" s="8"/>
      <c r="G27" s="8"/>
    </row>
    <row r="28" spans="1:7" ht="15.75" customHeight="1" x14ac:dyDescent="0.2"/>
    <row r="29" spans="1:7" ht="15.75" customHeight="1" x14ac:dyDescent="0.2"/>
    <row r="30" spans="1:7" ht="15.75" customHeight="1" x14ac:dyDescent="0.2"/>
    <row r="31" spans="1:7" ht="15.75" customHeight="1" x14ac:dyDescent="0.2"/>
    <row r="32" spans="1:7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1">
    <mergeCell ref="A1:G1"/>
  </mergeCells>
  <printOptions horizontalCentered="1" gridLines="1"/>
  <pageMargins left="0.7" right="0.7" top="0.75" bottom="0.75" header="0" footer="0"/>
  <pageSetup paperSize="9" pageOrder="overThenDown" orientation="landscape" cellComments="atEnd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1839CC-8FD0-441E-9AC6-D1BEB30AA9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Planilha1</vt:lpstr>
      <vt:lpstr>Base</vt:lpstr>
      <vt:lpstr>JUNHO-2024</vt:lpstr>
      <vt:lpstr>MAIO-2024</vt:lpstr>
      <vt:lpstr>Planilha1!Titulos_de_impressao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Arruda Rebordão</dc:creator>
  <cp:lastModifiedBy>Maycon Arruda</cp:lastModifiedBy>
  <cp:lastPrinted>2024-12-02T12:16:13Z</cp:lastPrinted>
  <dcterms:created xsi:type="dcterms:W3CDTF">2024-08-10T11:31:37Z</dcterms:created>
  <dcterms:modified xsi:type="dcterms:W3CDTF">2024-12-02T12:18:11Z</dcterms:modified>
</cp:coreProperties>
</file>
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1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vendas11\Desktop\MAYCON\vendas-helps\vba\"/>
    </mc:Choice>
  </mc:AlternateContent>
  <xr:revisionPtr revIDLastSave="0" documentId="8_{2F341616-5E23-4612-9792-4E4D4F89C6EF}" xr6:coauthVersionLast="36" xr6:coauthVersionMax="36" xr10:uidLastSave="{00000000-0000-0000-0000-000000000000}"/>
  <bookViews>
    <workbookView xWindow="0" yWindow="0" windowWidth="28800" windowHeight="12105" xr2:uid="{256BE24C-811F-456A-9B13-50832A4A0015}"/>
  </bookViews>
  <sheets>
    <sheet name="Planilha3" sheetId="3" r:id="rId1"/>
    <sheet name="DB" sheetId="12" r:id="rId2"/>
  </sheets>
  <definedNames>
    <definedName name="DadosExternos_2" localSheetId="0" hidden="1">Planilha3!$A$1:$H$28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3" l="1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7B215C-C0ED-427B-864C-AE54288EC22B}" keepAlive="1" name="Conexão" type="5" refreshedVersion="0" background="1">
    <dbPr connection="Provider=Microsoft.Mashup.OleDb.1;Data Source=$Workbook$;Location=clientes-maycon;Extended Properties=&quot;&quot;" commandType="0"/>
  </connection>
  <connection id="2" xr16:uid="{8BC7734C-2D21-4547-9B86-6B1B6CCBC99F}" keepAlive="1" name="Conexão1" type="5" refreshedVersion="0" background="1">
    <dbPr connection="Provider=Microsoft.Mashup.OleDb.1;Data Source=$Workbook$;Location=&quot;clientes-maycon (2)&quot;;Extended Properties=&quot;&quot;" commandType="0"/>
  </connection>
  <connection id="3" xr16:uid="{4E178546-7BB3-4828-A8B9-0382D2CA9F82}" keepAlive="1" name="Conexão2" type="5" refreshedVersion="0" background="1">
    <dbPr connection="Provider=Microsoft.Mashup.OleDb.1;Data Source=$Workbook$;Location=clientes-maycon;Extended Properties=&quot;&quot;" commandType="0"/>
  </connection>
  <connection id="4" xr16:uid="{A60D44F3-9001-4DA8-9E7F-6605595B72D1}" keepAlive="1" name="Conexão3" type="5" refreshedVersion="0" background="1">
    <dbPr connection="Provider=Microsoft.Mashup.OleDb.1;Data Source=$Workbook$;Location=clientes-maycon;Extended Properties=&quot;&quot;" commandType="0"/>
  </connection>
  <connection id="5" xr16:uid="{72DE4BAD-7AF4-46C5-BEAD-4C949BEA6FDA}" keepAlive="1" name="Conexão4" type="5" refreshedVersion="0" background="1">
    <dbPr connection="Provider=Microsoft.Mashup.OleDb.1;Data Source=$Workbook$;Location=&quot;clientes-maycon (2)&quot;;Extended Properties=&quot;&quot;" commandType="0"/>
  </connection>
  <connection id="6" xr16:uid="{F47C9092-3E35-483A-9084-202C7C690161}" keepAlive="1" name="Conexão5" type="5" refreshedVersion="0" background="1">
    <dbPr connection="Provider=Microsoft.Mashup.OleDb.1;Data Source=$Workbook$;Location=clientes-maycon;Extended Properties=&quot;&quot;" commandType="0"/>
  </connection>
  <connection id="7" xr16:uid="{6575FD83-1FE1-4D17-90D9-F737F28DAD30}" keepAlive="1" name="Conexão6" type="5" refreshedVersion="0" background="1">
    <dbPr connection="Provider=Microsoft.Mashup.OleDb.1;Data Source=$Workbook$;Location=&quot;clientes-maycon (2)&quot;;Extended Properties=&quot;&quot;" commandType="0"/>
  </connection>
  <connection id="8" xr16:uid="{32FC90BA-0507-48E5-8B99-2F7C906E476B}" keepAlive="1" name="Consulta - clientes-maycon" description="Conexão com a consulta 'clientes-maycon' na pasta de trabalho." type="5" refreshedVersion="6" background="1">
    <dbPr connection="Provider=Microsoft.Mashup.OleDb.1;Data Source=$Workbook$;Location=clientes-maycon;Extended Properties=&quot;&quot;" command="SELECT * FROM [clientes-maycon]"/>
  </connection>
  <connection id="9" xr16:uid="{DFA8BA53-A75D-4C3D-8CAC-08383A3D409D}" keepAlive="1" name="Consulta - clientes-maycon (2)" description="Conexão com a consulta 'clientes-maycon (2)' na pasta de trabalho." type="5" refreshedVersion="6" minRefreshableVersion="3" background="1" saveData="1">
    <dbPr connection="Provider=Microsoft.Mashup.OleDb.1;Data Source=$Workbook$;Location=clientes-maycon (2);Extended Properties=&quot;&quot;" command="SELECT * FROM [clientes-maycon (2)]"/>
  </connection>
</connections>
</file>

<file path=xl/sharedStrings.xml><?xml version="1.0" encoding="utf-8"?>
<sst xmlns="http://schemas.openxmlformats.org/spreadsheetml/2006/main" count="199" uniqueCount="116">
  <si>
    <t>SITUACAO</t>
  </si>
  <si>
    <t>RAZAOSOCIAL</t>
  </si>
  <si>
    <t>CIDADE</t>
  </si>
  <si>
    <t>UF</t>
  </si>
  <si>
    <t>CGC</t>
  </si>
  <si>
    <t>ULTIMACOMPRA</t>
  </si>
  <si>
    <t>FONE</t>
  </si>
  <si>
    <t>EMAIL</t>
  </si>
  <si>
    <t>ATIVO</t>
  </si>
  <si>
    <t>VITOR PERES JACOB</t>
  </si>
  <si>
    <t>CORONEL FABRICIANO</t>
  </si>
  <si>
    <t>MG</t>
  </si>
  <si>
    <t>10917388666</t>
  </si>
  <si>
    <t>(00) 00000-0000</t>
  </si>
  <si>
    <t>n@o.tem</t>
  </si>
  <si>
    <t>ERALDO LOPES</t>
  </si>
  <si>
    <t>SORRISO</t>
  </si>
  <si>
    <t>MT</t>
  </si>
  <si>
    <t>75977907168</t>
  </si>
  <si>
    <t>MARCELO B. VASCONCELOS</t>
  </si>
  <si>
    <t>NOVA SERRANA</t>
  </si>
  <si>
    <t>05635319670</t>
  </si>
  <si>
    <t>MARCUS R. FIGUEIREDO</t>
  </si>
  <si>
    <t>SEROPEDICA</t>
  </si>
  <si>
    <t>RJ</t>
  </si>
  <si>
    <t>07313905718</t>
  </si>
  <si>
    <t>PRISCILLA RIBEIRO DE FREITAS MELO</t>
  </si>
  <si>
    <t>PARACATU</t>
  </si>
  <si>
    <t>06379355600</t>
  </si>
  <si>
    <t>LEONARDO CHAVES DE SOUSA</t>
  </si>
  <si>
    <t>IGARAPE</t>
  </si>
  <si>
    <t>40345920600</t>
  </si>
  <si>
    <t>FERNANDA MONTEIRO DA SILVA</t>
  </si>
  <si>
    <t>COXIM</t>
  </si>
  <si>
    <t>MS</t>
  </si>
  <si>
    <t>05022677636</t>
  </si>
  <si>
    <t>MARTA T. BORGES</t>
  </si>
  <si>
    <t>GUARACI</t>
  </si>
  <si>
    <t>SP</t>
  </si>
  <si>
    <t>07338162824</t>
  </si>
  <si>
    <t>VITOR M. F. GOMES</t>
  </si>
  <si>
    <t>VICENCIA</t>
  </si>
  <si>
    <t>PE</t>
  </si>
  <si>
    <t>10203870417</t>
  </si>
  <si>
    <t>ERNESTO VOLANTE JUNIOR</t>
  </si>
  <si>
    <t>SAO CARLOS</t>
  </si>
  <si>
    <t>07302513813</t>
  </si>
  <si>
    <t>BRUNO CAMILO</t>
  </si>
  <si>
    <t>RIO DE JANEIRO</t>
  </si>
  <si>
    <t>13004504790</t>
  </si>
  <si>
    <t>21 973096858</t>
  </si>
  <si>
    <t>VANDREY PEDROZA BISPO</t>
  </si>
  <si>
    <t>CONCEICAO DA BARRA</t>
  </si>
  <si>
    <t>ES</t>
  </si>
  <si>
    <t>16581627739</t>
  </si>
  <si>
    <t>IGOR FIGUEIREDO CARNEIRO</t>
  </si>
  <si>
    <t>PARNAIBA</t>
  </si>
  <si>
    <t>PI</t>
  </si>
  <si>
    <t>43985335320</t>
  </si>
  <si>
    <t>LUIZ ANTONIO DOS SANTOS</t>
  </si>
  <si>
    <t>SAO PAULO</t>
  </si>
  <si>
    <t>07664307821</t>
  </si>
  <si>
    <t>ANTONIO TOMAZ DE AQUINO AZARIAS DA SILVA</t>
  </si>
  <si>
    <t>CUIABA</t>
  </si>
  <si>
    <t>36232319168</t>
  </si>
  <si>
    <t>STILLO NAUTICA LTDA</t>
  </si>
  <si>
    <t>UNAI</t>
  </si>
  <si>
    <t>17962363000100</t>
  </si>
  <si>
    <t>(38) 3677-3782</t>
  </si>
  <si>
    <t>stillonauticastihl@hotmail.com</t>
  </si>
  <si>
    <t>GUSTAVO HENRIQUE DE FREITAS</t>
  </si>
  <si>
    <t>QUIRINOPOLIS</t>
  </si>
  <si>
    <t>GO</t>
  </si>
  <si>
    <t>34991557100</t>
  </si>
  <si>
    <t>P M DE CONTO LTDA</t>
  </si>
  <si>
    <t>GUARANTA DO NORTE</t>
  </si>
  <si>
    <t>19397471000103</t>
  </si>
  <si>
    <t>HUILIAM BEZERRA</t>
  </si>
  <si>
    <t>BELEM</t>
  </si>
  <si>
    <t>PA</t>
  </si>
  <si>
    <t>69965870268</t>
  </si>
  <si>
    <t>ALEX DA CUNHA CAMARGO SANTOS</t>
  </si>
  <si>
    <t>BOITUVA</t>
  </si>
  <si>
    <t>42424009856</t>
  </si>
  <si>
    <t>15 991604173</t>
  </si>
  <si>
    <t>VITOR SOARES TAVARES NOTA FISCAL ELETRÔNICA</t>
  </si>
  <si>
    <t>PALMAS</t>
  </si>
  <si>
    <t>TO</t>
  </si>
  <si>
    <t>03360728211</t>
  </si>
  <si>
    <t>PATRÍCIA FARIAS PARIZ</t>
  </si>
  <si>
    <t>ANASTACIO</t>
  </si>
  <si>
    <t>01843297108</t>
  </si>
  <si>
    <t>REGINALDO BARBOSA DE SOUZA</t>
  </si>
  <si>
    <t>JARDIM</t>
  </si>
  <si>
    <t>60851899153</t>
  </si>
  <si>
    <t>(67) 99802-7296</t>
  </si>
  <si>
    <t>rb_souza2014@hotmail.com</t>
  </si>
  <si>
    <t>HELIO DE ALMEIDA MORAIS</t>
  </si>
  <si>
    <t>PRESIDENTE DUTRA</t>
  </si>
  <si>
    <t>MA</t>
  </si>
  <si>
    <t>84801000363</t>
  </si>
  <si>
    <t>BLOQUEADO</t>
  </si>
  <si>
    <t>JOEL MORAES</t>
  </si>
  <si>
    <t>JOINVILLE</t>
  </si>
  <si>
    <t>SC</t>
  </si>
  <si>
    <t>00581309936</t>
  </si>
  <si>
    <t>(47) 98409-0950</t>
  </si>
  <si>
    <t>moraisjoel@hotmail.com</t>
  </si>
  <si>
    <t>JAISON ANDRE SILVA BRAGA</t>
  </si>
  <si>
    <t>VARGEM GRANDE</t>
  </si>
  <si>
    <t>97541311391</t>
  </si>
  <si>
    <t>LUÍS ROBERTO DE OLIVEIRA</t>
  </si>
  <si>
    <t>CAMPO GRANDE</t>
  </si>
  <si>
    <t>22186227851</t>
  </si>
  <si>
    <t>Coluna1</t>
  </si>
  <si>
    <t>Coluna2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</si>
</sst>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rgb="FF1E1E1E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22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</cellXfs>
  <cellStyles count="1">
    <cellStyle name="Normal" xfId="0" builtinId="0"/>
  </cellStyles>
  <dxfs count="14"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7" formatCode="dd/mm/yyyy\ hh:mm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adjustColumnWidth="0" connectionId="9" xr16:uid="{6C7FDFD0-EF68-49A2-A66E-9A7F5545E9B0}" autoFormatId="16" applyNumberFormats="0" applyBorderFormats="0" applyFontFormats="0" applyPatternFormats="0" applyAlignmentFormats="0" applyWidthHeightFormats="0">
  <queryTableRefresh nextId="11" unboundColumnsRight="2">
    <queryTableFields count="10">
      <queryTableField id="1" name="SITUACAO" tableColumnId="1"/>
      <queryTableField id="2" name="RAZAOSOCIAL" tableColumnId="2"/>
      <queryTableField id="3" name="CIDADE" tableColumnId="3"/>
      <queryTableField id="4" name="UF" tableColumnId="4"/>
      <queryTableField id="5" name="CGC" tableColumnId="5"/>
      <queryTableField id="6" name="ULTIMACOMPRA" tableColumnId="6"/>
      <queryTableField id="7" name="FONE" tableColumnId="7"/>
      <queryTableField id="8" name="EMAIL" tableColumnId="8"/>
      <queryTableField id="9" dataBound="0" tableColumnId="9"/>
      <queryTableField id="10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B0B635-E6B9-4BF9-A33A-E02D481CA807}" name="clientes_maycon__2" displayName="clientes_maycon__2" ref="A1:J28" tableType="queryTable" headerRowDxfId="11" dataDxfId="12" totalsRowDxfId="13">
  <autoFilter ref="A1:J28" xr:uid="{3C3AC062-DCEE-4CD1-A93C-FB5A4FCED6DF}"/>
  <tableColumns count="10">
    <tableColumn id="1" xr3:uid="{9B6A2FB4-1BB9-4051-AED1-AA242F187E3E}" uniqueName="1" name="SITUACAO" totalsRowLabel="Total" queryTableFieldId="1" dataDxfId="9"/>
    <tableColumn id="2" xr3:uid="{9458DC63-5377-47F2-ADBE-C31D3C153579}" uniqueName="2" name="RAZAOSOCIAL" queryTableFieldId="2" dataDxfId="8"/>
    <tableColumn id="3" xr3:uid="{73E0C975-687D-4DCC-B983-6353F6CE8267}" uniqueName="3" name="CIDADE" queryTableFieldId="3" dataDxfId="7"/>
    <tableColumn id="4" xr3:uid="{ED24CB92-AB25-4CBA-9C96-E7E9E7892E2F}" uniqueName="4" name="UF" queryTableFieldId="4" dataDxfId="6"/>
    <tableColumn id="5" xr3:uid="{FF68C017-BA68-4A05-9047-F651C9654345}" uniqueName="5" name="CGC" queryTableFieldId="5" dataDxfId="5"/>
    <tableColumn id="6" xr3:uid="{DD5BF751-3C0A-43B4-BED5-42803EAAFEC7}" uniqueName="6" name="ULTIMACOMPRA" queryTableFieldId="6" dataDxfId="4"/>
    <tableColumn id="7" xr3:uid="{0D4EB376-E7CD-4D00-9BAB-925F2A9F29E2}" uniqueName="7" name="FONE" queryTableFieldId="7" dataDxfId="3"/>
    <tableColumn id="8" xr3:uid="{576EFCBD-A00B-4DB6-97EB-D6E229CC03BD}" uniqueName="8" name="EMAIL" totalsRowFunction="count" queryTableFieldId="8" dataDxfId="2"/>
    <tableColumn id="9" xr3:uid="{C59B116D-13D4-4815-910E-019F9A494A9C}" uniqueName="9" name="Coluna1" queryTableFieldId="9" dataDxfId="1">
      <calculatedColumnFormula>DATEDIF(F2,TODAY(),"d")</calculatedColumnFormula>
    </tableColumn>
    <tableColumn id="10" xr3:uid="{CD1AC294-E89F-4D2D-98BB-51E95D5EAF14}" uniqueName="10" name="Coluna2" queryTableFieldId="10" dataDxfId="0" totalsRowDxfId="10"/>
  </tableColumns>
  <tableStyleInfo name="TableStyleMedium9" showFirstColumn="1" showLastColumn="0" showRowStripes="1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749B3-014D-474D-9381-2F7F31BF1CAD}">
  <sheetPr codeName="Planilha2"/>
  <dimension ref="A1:J28"/>
  <sheetViews>
    <sheetView tabSelected="1" zoomScale="85" zoomScaleNormal="85" workbookViewId="0">
      <selection activeCell="E16" sqref="E16"/>
    </sheetView>
  </sheetViews>
  <sheetFormatPr defaultRowHeight="18.75" x14ac:dyDescent="0.3"/>
  <cols>
    <col min="1" max="1" width="19" style="1" bestFit="1" customWidth="1"/>
    <col min="2" max="2" width="59.42578125" style="1" bestFit="1" customWidth="1"/>
    <col min="3" max="3" width="27.140625" style="1" bestFit="1" customWidth="1"/>
    <col min="4" max="4" width="9.28515625" style="1" bestFit="1" customWidth="1"/>
    <col min="5" max="5" width="21.7109375" style="1" bestFit="1" customWidth="1"/>
    <col min="6" max="6" width="27.5703125" style="1" bestFit="1" customWidth="1"/>
    <col min="7" max="7" width="20.42578125" style="1" bestFit="1" customWidth="1"/>
    <col min="8" max="8" width="36" style="1" bestFit="1" customWidth="1"/>
    <col min="9" max="9" width="11" style="1" bestFit="1" customWidth="1"/>
    <col min="10" max="10" width="30" style="1" customWidth="1"/>
    <col min="11" max="16384" width="9.140625" style="1"/>
  </cols>
  <sheetData>
    <row r="1" spans="1:10" s="3" customFormat="1" ht="2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114</v>
      </c>
      <c r="J1" s="3" t="s">
        <v>115</v>
      </c>
    </row>
    <row r="2" spans="1:10" x14ac:dyDescent="0.3">
      <c r="A2" s="1" t="s">
        <v>8</v>
      </c>
      <c r="B2" s="1" t="s">
        <v>9</v>
      </c>
      <c r="C2" s="1" t="s">
        <v>10</v>
      </c>
      <c r="D2" s="1" t="s">
        <v>11</v>
      </c>
      <c r="E2" s="1" t="s">
        <v>12</v>
      </c>
      <c r="F2" s="2">
        <v>32874</v>
      </c>
      <c r="G2" s="1" t="s">
        <v>13</v>
      </c>
      <c r="H2" s="1" t="s">
        <v>14</v>
      </c>
      <c r="I2" s="1">
        <f t="shared" ref="I2:I28" ca="1" si="0">DATEDIF(F2,TODAY(),"d")</f>
        <v>12609</v>
      </c>
      <c r="J2" s="1">
        <v>13</v>
      </c>
    </row>
    <row r="3" spans="1:10" x14ac:dyDescent="0.3">
      <c r="A3" s="1" t="s">
        <v>8</v>
      </c>
      <c r="B3" s="1" t="s">
        <v>15</v>
      </c>
      <c r="C3" s="1" t="s">
        <v>16</v>
      </c>
      <c r="D3" s="1" t="s">
        <v>17</v>
      </c>
      <c r="E3" s="1" t="s">
        <v>18</v>
      </c>
      <c r="F3" s="2">
        <v>32874</v>
      </c>
      <c r="G3" s="1" t="s">
        <v>13</v>
      </c>
      <c r="H3" s="1" t="s">
        <v>14</v>
      </c>
      <c r="I3" s="1">
        <f t="shared" ca="1" si="0"/>
        <v>12609</v>
      </c>
      <c r="J3" s="1">
        <v>7</v>
      </c>
    </row>
    <row r="4" spans="1:10" x14ac:dyDescent="0.3">
      <c r="A4" s="1" t="s">
        <v>8</v>
      </c>
      <c r="B4" s="1" t="s">
        <v>19</v>
      </c>
      <c r="C4" s="1" t="s">
        <v>20</v>
      </c>
      <c r="D4" s="1" t="s">
        <v>11</v>
      </c>
      <c r="E4" s="1" t="s">
        <v>21</v>
      </c>
      <c r="F4" s="2">
        <v>32874</v>
      </c>
      <c r="G4" s="1" t="s">
        <v>13</v>
      </c>
      <c r="H4" s="1" t="s">
        <v>14</v>
      </c>
      <c r="I4" s="1">
        <f t="shared" ca="1" si="0"/>
        <v>12609</v>
      </c>
      <c r="J4" s="1">
        <v>7</v>
      </c>
    </row>
    <row r="5" spans="1:10" x14ac:dyDescent="0.3">
      <c r="A5" s="1" t="s">
        <v>8</v>
      </c>
      <c r="B5" s="1" t="s">
        <v>22</v>
      </c>
      <c r="C5" s="1" t="s">
        <v>23</v>
      </c>
      <c r="D5" s="1" t="s">
        <v>24</v>
      </c>
      <c r="E5" s="1" t="s">
        <v>25</v>
      </c>
      <c r="F5" s="2">
        <v>45436</v>
      </c>
      <c r="G5" s="1" t="s">
        <v>13</v>
      </c>
      <c r="H5" s="1" t="s">
        <v>14</v>
      </c>
      <c r="I5" s="1">
        <f t="shared" ca="1" si="0"/>
        <v>47</v>
      </c>
      <c r="J5" s="1">
        <v>7</v>
      </c>
    </row>
    <row r="6" spans="1:10" x14ac:dyDescent="0.3">
      <c r="A6" s="1" t="s">
        <v>8</v>
      </c>
      <c r="B6" s="1" t="s">
        <v>26</v>
      </c>
      <c r="C6" s="1" t="s">
        <v>27</v>
      </c>
      <c r="D6" s="1" t="s">
        <v>11</v>
      </c>
      <c r="E6" s="1" t="s">
        <v>28</v>
      </c>
      <c r="F6" s="2">
        <v>45439</v>
      </c>
      <c r="G6" s="1" t="s">
        <v>13</v>
      </c>
      <c r="H6" s="1" t="s">
        <v>14</v>
      </c>
      <c r="I6" s="1">
        <f t="shared" ca="1" si="0"/>
        <v>44</v>
      </c>
    </row>
    <row r="7" spans="1:10" x14ac:dyDescent="0.3">
      <c r="A7" s="1" t="s">
        <v>8</v>
      </c>
      <c r="B7" s="1" t="s">
        <v>29</v>
      </c>
      <c r="C7" s="1" t="s">
        <v>30</v>
      </c>
      <c r="D7" s="1" t="s">
        <v>11</v>
      </c>
      <c r="E7" s="1" t="s">
        <v>31</v>
      </c>
      <c r="F7" s="2">
        <v>45439</v>
      </c>
      <c r="G7" s="1" t="s">
        <v>13</v>
      </c>
      <c r="H7" s="1" t="s">
        <v>14</v>
      </c>
      <c r="I7" s="1">
        <f t="shared" ca="1" si="0"/>
        <v>44</v>
      </c>
    </row>
    <row r="8" spans="1:10" x14ac:dyDescent="0.3">
      <c r="A8" s="1" t="s">
        <v>8</v>
      </c>
      <c r="B8" s="1" t="s">
        <v>32</v>
      </c>
      <c r="C8" s="1" t="s">
        <v>33</v>
      </c>
      <c r="D8" s="1" t="s">
        <v>34</v>
      </c>
      <c r="E8" s="1" t="s">
        <v>35</v>
      </c>
      <c r="F8" s="2">
        <v>45440</v>
      </c>
      <c r="G8" s="1" t="s">
        <v>13</v>
      </c>
      <c r="H8" s="1" t="s">
        <v>14</v>
      </c>
      <c r="I8" s="1">
        <f t="shared" ca="1" si="0"/>
        <v>43</v>
      </c>
    </row>
    <row r="9" spans="1:10" x14ac:dyDescent="0.3">
      <c r="A9" s="1" t="s">
        <v>8</v>
      </c>
      <c r="B9" s="1" t="s">
        <v>36</v>
      </c>
      <c r="C9" s="1" t="s">
        <v>37</v>
      </c>
      <c r="D9" s="1" t="s">
        <v>38</v>
      </c>
      <c r="E9" s="1" t="s">
        <v>39</v>
      </c>
      <c r="F9" s="2">
        <v>45441</v>
      </c>
      <c r="G9" s="1" t="s">
        <v>13</v>
      </c>
      <c r="H9" s="1" t="s">
        <v>14</v>
      </c>
      <c r="I9" s="1">
        <f t="shared" ca="1" si="0"/>
        <v>42</v>
      </c>
    </row>
    <row r="10" spans="1:10" x14ac:dyDescent="0.3">
      <c r="A10" s="1" t="s">
        <v>8</v>
      </c>
      <c r="B10" s="1" t="s">
        <v>40</v>
      </c>
      <c r="C10" s="1" t="s">
        <v>41</v>
      </c>
      <c r="D10" s="1" t="s">
        <v>42</v>
      </c>
      <c r="E10" s="1" t="s">
        <v>43</v>
      </c>
      <c r="F10" s="2">
        <v>45441</v>
      </c>
      <c r="G10" s="1" t="s">
        <v>13</v>
      </c>
      <c r="H10" s="1" t="s">
        <v>14</v>
      </c>
      <c r="I10" s="1">
        <f t="shared" ca="1" si="0"/>
        <v>42</v>
      </c>
    </row>
    <row r="11" spans="1:10" x14ac:dyDescent="0.3">
      <c r="A11" s="1" t="s">
        <v>8</v>
      </c>
      <c r="B11" s="1" t="s">
        <v>44</v>
      </c>
      <c r="C11" s="1" t="s">
        <v>45</v>
      </c>
      <c r="D11" s="1" t="s">
        <v>38</v>
      </c>
      <c r="E11" s="1" t="s">
        <v>46</v>
      </c>
      <c r="F11" s="2">
        <v>45443</v>
      </c>
      <c r="G11" s="1" t="s">
        <v>13</v>
      </c>
      <c r="H11" s="1" t="s">
        <v>14</v>
      </c>
      <c r="I11" s="1">
        <f t="shared" ca="1" si="0"/>
        <v>40</v>
      </c>
    </row>
    <row r="12" spans="1:10" x14ac:dyDescent="0.3">
      <c r="A12" s="1" t="s">
        <v>8</v>
      </c>
      <c r="B12" s="1" t="s">
        <v>47</v>
      </c>
      <c r="C12" s="1" t="s">
        <v>48</v>
      </c>
      <c r="D12" s="1" t="s">
        <v>24</v>
      </c>
      <c r="E12" s="1" t="s">
        <v>49</v>
      </c>
      <c r="F12" s="2">
        <v>45446</v>
      </c>
      <c r="G12" s="1" t="s">
        <v>50</v>
      </c>
      <c r="H12" s="1" t="s">
        <v>14</v>
      </c>
      <c r="I12" s="1">
        <f t="shared" ca="1" si="0"/>
        <v>37</v>
      </c>
    </row>
    <row r="13" spans="1:10" x14ac:dyDescent="0.3">
      <c r="A13" s="1" t="s">
        <v>8</v>
      </c>
      <c r="B13" s="1" t="s">
        <v>51</v>
      </c>
      <c r="C13" s="1" t="s">
        <v>52</v>
      </c>
      <c r="D13" s="1" t="s">
        <v>53</v>
      </c>
      <c r="E13" s="1" t="s">
        <v>54</v>
      </c>
      <c r="F13" s="2">
        <v>45448</v>
      </c>
      <c r="G13" s="1" t="s">
        <v>13</v>
      </c>
      <c r="H13" s="1" t="s">
        <v>14</v>
      </c>
      <c r="I13" s="1">
        <f t="shared" ca="1" si="0"/>
        <v>35</v>
      </c>
    </row>
    <row r="14" spans="1:10" x14ac:dyDescent="0.3">
      <c r="A14" s="1" t="s">
        <v>8</v>
      </c>
      <c r="B14" s="1" t="s">
        <v>55</v>
      </c>
      <c r="C14" s="1" t="s">
        <v>56</v>
      </c>
      <c r="D14" s="1" t="s">
        <v>57</v>
      </c>
      <c r="E14" s="1" t="s">
        <v>58</v>
      </c>
      <c r="F14" s="2">
        <v>45454</v>
      </c>
      <c r="G14" s="1" t="s">
        <v>13</v>
      </c>
      <c r="H14" s="1" t="s">
        <v>14</v>
      </c>
      <c r="I14" s="1">
        <f t="shared" ca="1" si="0"/>
        <v>29</v>
      </c>
    </row>
    <row r="15" spans="1:10" x14ac:dyDescent="0.3">
      <c r="A15" s="1" t="s">
        <v>8</v>
      </c>
      <c r="B15" s="1" t="s">
        <v>59</v>
      </c>
      <c r="C15" s="1" t="s">
        <v>60</v>
      </c>
      <c r="D15" s="1" t="s">
        <v>38</v>
      </c>
      <c r="E15" s="1" t="s">
        <v>61</v>
      </c>
      <c r="F15" s="2">
        <v>45454</v>
      </c>
      <c r="G15" s="1" t="s">
        <v>13</v>
      </c>
      <c r="H15" s="1" t="s">
        <v>14</v>
      </c>
      <c r="I15" s="1">
        <f t="shared" ca="1" si="0"/>
        <v>29</v>
      </c>
    </row>
    <row r="16" spans="1:10" x14ac:dyDescent="0.3">
      <c r="A16" s="1" t="s">
        <v>8</v>
      </c>
      <c r="B16" s="1" t="s">
        <v>62</v>
      </c>
      <c r="C16" s="1" t="s">
        <v>63</v>
      </c>
      <c r="D16" s="1" t="s">
        <v>17</v>
      </c>
      <c r="E16" s="1" t="s">
        <v>64</v>
      </c>
      <c r="F16" s="2">
        <v>45454</v>
      </c>
      <c r="G16" s="1" t="s">
        <v>13</v>
      </c>
      <c r="H16" s="1" t="s">
        <v>14</v>
      </c>
      <c r="I16" s="1">
        <f t="shared" ca="1" si="0"/>
        <v>29</v>
      </c>
    </row>
    <row r="17" spans="1:9" x14ac:dyDescent="0.3">
      <c r="A17" s="1" t="s">
        <v>8</v>
      </c>
      <c r="B17" s="1" t="s">
        <v>65</v>
      </c>
      <c r="C17" s="1" t="s">
        <v>66</v>
      </c>
      <c r="D17" s="1" t="s">
        <v>11</v>
      </c>
      <c r="E17" s="1" t="s">
        <v>67</v>
      </c>
      <c r="F17" s="2">
        <v>45455</v>
      </c>
      <c r="G17" s="1" t="s">
        <v>68</v>
      </c>
      <c r="H17" s="1" t="s">
        <v>69</v>
      </c>
      <c r="I17" s="1">
        <f t="shared" ca="1" si="0"/>
        <v>28</v>
      </c>
    </row>
    <row r="18" spans="1:9" x14ac:dyDescent="0.3">
      <c r="A18" s="1" t="s">
        <v>8</v>
      </c>
      <c r="B18" s="1" t="s">
        <v>70</v>
      </c>
      <c r="C18" s="1" t="s">
        <v>71</v>
      </c>
      <c r="D18" s="1" t="s">
        <v>72</v>
      </c>
      <c r="E18" s="1" t="s">
        <v>73</v>
      </c>
      <c r="F18" s="2">
        <v>45460</v>
      </c>
      <c r="G18" s="1" t="s">
        <v>13</v>
      </c>
      <c r="H18" s="1" t="s">
        <v>14</v>
      </c>
      <c r="I18" s="1">
        <f t="shared" ca="1" si="0"/>
        <v>23</v>
      </c>
    </row>
    <row r="19" spans="1:9" x14ac:dyDescent="0.3">
      <c r="A19" s="1" t="s">
        <v>8</v>
      </c>
      <c r="B19" s="1" t="s">
        <v>74</v>
      </c>
      <c r="C19" s="1" t="s">
        <v>75</v>
      </c>
      <c r="D19" s="1" t="s">
        <v>17</v>
      </c>
      <c r="E19" s="1" t="s">
        <v>76</v>
      </c>
      <c r="F19" s="2">
        <v>45461</v>
      </c>
      <c r="G19" s="1" t="s">
        <v>13</v>
      </c>
      <c r="H19" s="1" t="s">
        <v>14</v>
      </c>
      <c r="I19" s="1">
        <f t="shared" ca="1" si="0"/>
        <v>22</v>
      </c>
    </row>
    <row r="20" spans="1:9" x14ac:dyDescent="0.3">
      <c r="A20" s="1" t="s">
        <v>8</v>
      </c>
      <c r="B20" s="1" t="s">
        <v>77</v>
      </c>
      <c r="C20" s="1" t="s">
        <v>78</v>
      </c>
      <c r="D20" s="1" t="s">
        <v>79</v>
      </c>
      <c r="E20" s="1" t="s">
        <v>80</v>
      </c>
      <c r="F20" s="2">
        <v>45467</v>
      </c>
      <c r="G20" s="1" t="s">
        <v>13</v>
      </c>
      <c r="H20" s="1" t="s">
        <v>14</v>
      </c>
      <c r="I20" s="1">
        <f t="shared" ca="1" si="0"/>
        <v>16</v>
      </c>
    </row>
    <row r="21" spans="1:9" x14ac:dyDescent="0.3">
      <c r="A21" s="1" t="s">
        <v>8</v>
      </c>
      <c r="B21" s="1" t="s">
        <v>81</v>
      </c>
      <c r="C21" s="1" t="s">
        <v>82</v>
      </c>
      <c r="D21" s="1" t="s">
        <v>38</v>
      </c>
      <c r="E21" s="1" t="s">
        <v>83</v>
      </c>
      <c r="F21" s="2">
        <v>45468</v>
      </c>
      <c r="G21" s="1" t="s">
        <v>84</v>
      </c>
      <c r="H21" s="1" t="s">
        <v>14</v>
      </c>
      <c r="I21" s="1">
        <f t="shared" ca="1" si="0"/>
        <v>15</v>
      </c>
    </row>
    <row r="22" spans="1:9" x14ac:dyDescent="0.3">
      <c r="A22" s="1" t="s">
        <v>8</v>
      </c>
      <c r="B22" s="1" t="s">
        <v>85</v>
      </c>
      <c r="C22" s="1" t="s">
        <v>86</v>
      </c>
      <c r="D22" s="1" t="s">
        <v>87</v>
      </c>
      <c r="E22" s="1" t="s">
        <v>88</v>
      </c>
      <c r="F22" s="2">
        <v>45469</v>
      </c>
      <c r="G22" s="1" t="s">
        <v>13</v>
      </c>
      <c r="H22" s="1" t="s">
        <v>14</v>
      </c>
      <c r="I22" s="1">
        <f t="shared" ca="1" si="0"/>
        <v>14</v>
      </c>
    </row>
    <row r="23" spans="1:9" x14ac:dyDescent="0.3">
      <c r="A23" s="1" t="s">
        <v>8</v>
      </c>
      <c r="B23" s="1" t="s">
        <v>89</v>
      </c>
      <c r="C23" s="1" t="s">
        <v>90</v>
      </c>
      <c r="D23" s="1" t="s">
        <v>34</v>
      </c>
      <c r="E23" s="1" t="s">
        <v>91</v>
      </c>
      <c r="F23" s="2">
        <v>45469</v>
      </c>
      <c r="G23" s="1" t="s">
        <v>13</v>
      </c>
      <c r="H23" s="1" t="s">
        <v>14</v>
      </c>
      <c r="I23" s="1">
        <f t="shared" ca="1" si="0"/>
        <v>14</v>
      </c>
    </row>
    <row r="24" spans="1:9" x14ac:dyDescent="0.3">
      <c r="A24" s="1" t="s">
        <v>8</v>
      </c>
      <c r="B24" s="1" t="s">
        <v>92</v>
      </c>
      <c r="C24" s="1" t="s">
        <v>93</v>
      </c>
      <c r="D24" s="1" t="s">
        <v>34</v>
      </c>
      <c r="E24" s="1" t="s">
        <v>94</v>
      </c>
      <c r="F24" s="2">
        <v>45471</v>
      </c>
      <c r="G24" s="1" t="s">
        <v>95</v>
      </c>
      <c r="H24" s="1" t="s">
        <v>96</v>
      </c>
      <c r="I24" s="1">
        <f t="shared" ca="1" si="0"/>
        <v>12</v>
      </c>
    </row>
    <row r="25" spans="1:9" x14ac:dyDescent="0.3">
      <c r="A25" s="1" t="s">
        <v>8</v>
      </c>
      <c r="B25" s="1" t="s">
        <v>97</v>
      </c>
      <c r="C25" s="1" t="s">
        <v>98</v>
      </c>
      <c r="D25" s="1" t="s">
        <v>99</v>
      </c>
      <c r="E25" s="1" t="s">
        <v>100</v>
      </c>
      <c r="F25" s="2">
        <v>45474</v>
      </c>
      <c r="G25" s="1" t="s">
        <v>13</v>
      </c>
      <c r="H25" s="1" t="s">
        <v>14</v>
      </c>
      <c r="I25" s="1">
        <f t="shared" ca="1" si="0"/>
        <v>9</v>
      </c>
    </row>
    <row r="26" spans="1:9" x14ac:dyDescent="0.3">
      <c r="A26" s="1" t="s">
        <v>101</v>
      </c>
      <c r="B26" s="1" t="s">
        <v>102</v>
      </c>
      <c r="C26" s="1" t="s">
        <v>103</v>
      </c>
      <c r="D26" s="1" t="s">
        <v>104</v>
      </c>
      <c r="E26" s="1" t="s">
        <v>105</v>
      </c>
      <c r="F26" s="2">
        <v>45476</v>
      </c>
      <c r="G26" s="1" t="s">
        <v>106</v>
      </c>
      <c r="H26" s="1" t="s">
        <v>107</v>
      </c>
      <c r="I26" s="1">
        <f t="shared" ca="1" si="0"/>
        <v>7</v>
      </c>
    </row>
    <row r="27" spans="1:9" x14ac:dyDescent="0.3">
      <c r="A27" s="1" t="s">
        <v>8</v>
      </c>
      <c r="B27" s="1" t="s">
        <v>108</v>
      </c>
      <c r="C27" s="1" t="s">
        <v>109</v>
      </c>
      <c r="D27" s="1" t="s">
        <v>99</v>
      </c>
      <c r="E27" s="1" t="s">
        <v>110</v>
      </c>
      <c r="F27" s="2">
        <v>45477</v>
      </c>
      <c r="G27" s="1" t="s">
        <v>13</v>
      </c>
      <c r="H27" s="1" t="s">
        <v>14</v>
      </c>
      <c r="I27" s="1">
        <f t="shared" ca="1" si="0"/>
        <v>6</v>
      </c>
    </row>
    <row r="28" spans="1:9" x14ac:dyDescent="0.3">
      <c r="A28" s="1" t="s">
        <v>8</v>
      </c>
      <c r="B28" s="1" t="s">
        <v>111</v>
      </c>
      <c r="C28" s="1" t="s">
        <v>112</v>
      </c>
      <c r="D28" s="1" t="s">
        <v>34</v>
      </c>
      <c r="E28" s="1" t="s">
        <v>113</v>
      </c>
      <c r="F28" s="2">
        <v>45481</v>
      </c>
      <c r="G28" s="1" t="s">
        <v>13</v>
      </c>
      <c r="H28" s="1" t="s">
        <v>14</v>
      </c>
      <c r="I28" s="1">
        <f t="shared" ca="1" si="0"/>
        <v>2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Valor incorreto" error="Valor incorreto, insira um numero valido" promptTitle="Prazo" prompt="Selecione o numero de dias para contactar o cliente novmamente" xr:uid="{B3B832E7-5A4F-43F5-8C64-5459999C8A1A}">
          <x14:formula1>
            <xm:f>DB!$A$1:$A$42</xm:f>
          </x14:formula1>
          <xm:sqref>J2:J1048576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5B7B1-221C-41BC-99A2-7636F157E940}">
  <dimension ref="A1:A42"/>
  <sheetViews>
    <sheetView workbookViewId="0">
      <selection sqref="A1:A42"/>
    </sheetView>
  </sheetViews>
  <sheetFormatPr defaultRowHeight="15" x14ac:dyDescent="0.25"/>
  <cols>
    <col min="1" max="1" width="10.140625" bestFit="1" customWidth="1"/>
  </cols>
  <sheetData>
    <row r="1" spans="1:1" ht="17.25" x14ac:dyDescent="0.3">
      <c r="A1" s="4">
        <v>7</v>
      </c>
    </row>
    <row r="2" spans="1:1" x14ac:dyDescent="0.25">
      <c r="A2">
        <v>8</v>
      </c>
    </row>
    <row r="3" spans="1:1" ht="17.25" x14ac:dyDescent="0.3">
      <c r="A3" s="4">
        <v>9</v>
      </c>
    </row>
    <row r="4" spans="1:1" x14ac:dyDescent="0.25">
      <c r="A4">
        <v>10</v>
      </c>
    </row>
    <row r="5" spans="1:1" ht="17.25" x14ac:dyDescent="0.3">
      <c r="A5" s="4">
        <v>11</v>
      </c>
    </row>
    <row r="6" spans="1:1" x14ac:dyDescent="0.25">
      <c r="A6">
        <v>12</v>
      </c>
    </row>
    <row r="7" spans="1:1" ht="17.25" x14ac:dyDescent="0.3">
      <c r="A7" s="4">
        <v>13</v>
      </c>
    </row>
    <row r="8" spans="1:1" x14ac:dyDescent="0.25">
      <c r="A8">
        <v>14</v>
      </c>
    </row>
    <row r="9" spans="1:1" ht="17.25" x14ac:dyDescent="0.3">
      <c r="A9" s="4">
        <v>15</v>
      </c>
    </row>
    <row r="10" spans="1:1" x14ac:dyDescent="0.25">
      <c r="A10">
        <v>16</v>
      </c>
    </row>
    <row r="11" spans="1:1" ht="17.25" x14ac:dyDescent="0.3">
      <c r="A11" s="4">
        <v>17</v>
      </c>
    </row>
    <row r="12" spans="1:1" x14ac:dyDescent="0.25">
      <c r="A12">
        <v>18</v>
      </c>
    </row>
    <row r="13" spans="1:1" ht="17.25" x14ac:dyDescent="0.3">
      <c r="A13" s="4">
        <v>19</v>
      </c>
    </row>
    <row r="14" spans="1:1" x14ac:dyDescent="0.25">
      <c r="A14">
        <v>20</v>
      </c>
    </row>
    <row r="15" spans="1:1" ht="17.25" x14ac:dyDescent="0.3">
      <c r="A15" s="4">
        <v>21</v>
      </c>
    </row>
    <row r="16" spans="1:1" x14ac:dyDescent="0.25">
      <c r="A16">
        <v>22</v>
      </c>
    </row>
    <row r="17" spans="1:1" ht="17.25" x14ac:dyDescent="0.3">
      <c r="A17" s="4">
        <v>23</v>
      </c>
    </row>
    <row r="18" spans="1:1" x14ac:dyDescent="0.25">
      <c r="A18">
        <v>24</v>
      </c>
    </row>
    <row r="19" spans="1:1" ht="17.25" x14ac:dyDescent="0.3">
      <c r="A19" s="4">
        <v>25</v>
      </c>
    </row>
    <row r="20" spans="1:1" x14ac:dyDescent="0.25">
      <c r="A20">
        <v>26</v>
      </c>
    </row>
    <row r="21" spans="1:1" ht="17.25" x14ac:dyDescent="0.3">
      <c r="A21" s="4">
        <v>27</v>
      </c>
    </row>
    <row r="22" spans="1:1" x14ac:dyDescent="0.25">
      <c r="A22">
        <v>28</v>
      </c>
    </row>
    <row r="23" spans="1:1" ht="17.25" x14ac:dyDescent="0.3">
      <c r="A23" s="4">
        <v>29</v>
      </c>
    </row>
    <row r="24" spans="1:1" x14ac:dyDescent="0.25">
      <c r="A24">
        <v>30</v>
      </c>
    </row>
    <row r="25" spans="1:1" ht="17.25" x14ac:dyDescent="0.3">
      <c r="A25" s="4">
        <v>31</v>
      </c>
    </row>
    <row r="26" spans="1:1" x14ac:dyDescent="0.25">
      <c r="A26">
        <v>32</v>
      </c>
    </row>
    <row r="27" spans="1:1" ht="17.25" x14ac:dyDescent="0.3">
      <c r="A27" s="4">
        <v>33</v>
      </c>
    </row>
    <row r="28" spans="1:1" x14ac:dyDescent="0.25">
      <c r="A28">
        <v>34</v>
      </c>
    </row>
    <row r="29" spans="1:1" ht="17.25" x14ac:dyDescent="0.3">
      <c r="A29" s="4">
        <v>35</v>
      </c>
    </row>
    <row r="30" spans="1:1" x14ac:dyDescent="0.25">
      <c r="A30">
        <v>36</v>
      </c>
    </row>
    <row r="31" spans="1:1" ht="17.25" x14ac:dyDescent="0.3">
      <c r="A31" s="4">
        <v>37</v>
      </c>
    </row>
    <row r="32" spans="1:1" x14ac:dyDescent="0.25">
      <c r="A32">
        <v>38</v>
      </c>
    </row>
    <row r="33" spans="1:1" ht="17.25" x14ac:dyDescent="0.3">
      <c r="A33" s="4">
        <v>39</v>
      </c>
    </row>
    <row r="34" spans="1:1" x14ac:dyDescent="0.25">
      <c r="A34">
        <v>40</v>
      </c>
    </row>
    <row r="35" spans="1:1" ht="17.25" x14ac:dyDescent="0.3">
      <c r="A35" s="4">
        <v>41</v>
      </c>
    </row>
    <row r="36" spans="1:1" x14ac:dyDescent="0.25">
      <c r="A36">
        <v>42</v>
      </c>
    </row>
    <row r="37" spans="1:1" ht="17.25" x14ac:dyDescent="0.3">
      <c r="A37" s="4">
        <v>43</v>
      </c>
    </row>
    <row r="38" spans="1:1" x14ac:dyDescent="0.25">
      <c r="A38">
        <v>44</v>
      </c>
    </row>
    <row r="39" spans="1:1" ht="17.25" x14ac:dyDescent="0.3">
      <c r="A39" s="4">
        <v>45</v>
      </c>
    </row>
    <row r="40" spans="1:1" x14ac:dyDescent="0.25">
      <c r="A40">
        <v>46</v>
      </c>
    </row>
    <row r="41" spans="1:1" ht="17.25" x14ac:dyDescent="0.3">
      <c r="A41" s="4">
        <v>47</v>
      </c>
    </row>
    <row r="42" spans="1:1" x14ac:dyDescent="0.25">
      <c r="A42">
        <v>48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8BCB51-C5AA-4CF1-944C-9D60B37A1E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Maycon Arruda</dc:creator>
  <cp:lastModifiedBy>Gustavo Campos Vianna</cp:lastModifiedBy>
  <dcterms:created xsi:type="dcterms:W3CDTF">2024-07-10T20:38:05Z</dcterms:created>
  <dcterms:modified xsi:type="dcterms:W3CDTF">2024-07-10T21:17:46Z</dcterms:modified>
</cp:coreProperties>
</file>
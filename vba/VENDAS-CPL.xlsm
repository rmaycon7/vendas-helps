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2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ml01\Desktop\Dev\vendas-helps\vba\"/>
    </mc:Choice>
  </mc:AlternateContent>
  <xr:revisionPtr revIDLastSave="0" documentId="13_ncr:1_{484B3F33-4FE6-454E-A86F-EE7198EB3B04}" xr6:coauthVersionLast="36" xr6:coauthVersionMax="36" xr10:uidLastSave="{00000000-0000-0000-0000-000000000000}"/>
  <bookViews>
    <workbookView xWindow="0" yWindow="0" windowWidth="28800" windowHeight="12105" activeTab="1" xr2:uid="{010FB793-E84E-418B-AB43-61166F4C693C}"/>
  </bookViews>
  <sheets>
    <sheet name="Clientes" sheetId="2" r:id="rId1"/>
    <sheet name="Planilha5" sheetId="14" r:id="rId2"/>
    <sheet name="Planilha4" sheetId="13" r:id="rId3"/>
    <sheet name="Vendas" sheetId="4" r:id="rId4"/>
    <sheet name="View" sheetId="1" r:id="rId5"/>
    <sheet name="Planilha3" sheetId="12" r:id="rId6"/>
  </sheets>
  <definedNames>
    <definedName name="_xlcn.WorksheetConnection_VendasA1K251" hidden="1">Vendas!$A$1:$K$26</definedName>
    <definedName name="_xlcn.WorksheetConnection_VENDASCPL.xlsmmeus_clientes1" hidden="1">meus_clientes[]</definedName>
    <definedName name="_xlcn.WorksheetConnection_VENDASCPL.xlsmminhas_vendas1" hidden="1">minhas_vendas[]</definedName>
    <definedName name="_xlcn.WorksheetConnection_VENDASCPL.xlsmTabela41" hidden="1">Tabela4</definedName>
    <definedName name="DadosExternos_1" localSheetId="0" hidden="1">Clientes!$A$1:$H$28</definedName>
    <definedName name="DadosExternos_1" localSheetId="3" hidden="1">Vendas!$A$1:$K$24</definedName>
    <definedName name="DadosExternos_2" localSheetId="2" hidden="1">Planilha4!$A$1:$D$59</definedName>
    <definedName name="DadosExternos_3" localSheetId="1" hidden="1">Planilha5!$A$1:$D$337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minhas-vendas_8abc639c-b2dd-4c0a-9dc2-7f202635d3f6" name="minhas-vendas" connection="Consulta - minhas-vendas"/>
          <x15:modelTable id="Tabela4" name="Tabela4" connection="WorksheetConnection_VENDAS-CPL.xlsm!Tabela4"/>
          <x15:modelTable id="minhas_vendas" name="minhas_vendas" connection="WorksheetConnection_VENDAS-CPL.xlsm!minhas_vendas"/>
          <x15:modelTable id="meus_clientes" name="meus_clientes" connection="WorksheetConnection_VENDAS-CPL.xlsm!meus_clientes"/>
          <x15:modelTable id="Intervalo" name="Intervalo" connection="WorksheetConnection_Vendas!$A$1:$K$25"/>
        </x15:modelTables>
        <x15:modelRelationships>
          <x15:modelRelationship fromTable="minhas-vendas" fromColumn="CGC" toTable="meus_clientes" toColumn="CGC"/>
          <x15:modelRelationship fromTable="Intervalo" fromColumn="CGC" toTable="meus_clientes" toColumn="CGC"/>
          <x15:modelRelationship fromTable="minhas_vendas" fromColumn="CGC" toTable="meus_clientes" toColumn="CGC"/>
        </x15:modelRelationships>
      </x15:dataModel>
    </ext>
  </extLst>
</workbook>
</file>

<file path=xl/calcChain.xml><?xml version="1.0" encoding="utf-8"?>
<calcChain xmlns="http://schemas.openxmlformats.org/spreadsheetml/2006/main">
  <c r="D60" i="13" l="1"/>
  <c r="K25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97C402A-DDFE-4D26-B13B-5FF8369C4035}" keepAlive="1" name="Consulta - meus-clientes" description="Conexão com a consulta 'meus-clientes' na pasta de trabalho." type="5" refreshedVersion="6" background="1" saveData="1">
    <dbPr connection="Provider=Microsoft.Mashup.OleDb.1;Data Source=$Workbook$;Location=meus-clientes;Extended Properties=&quot;&quot;" command="SELECT * FROM [meus-clientes]"/>
  </connection>
  <connection id="2" xr16:uid="{179B3163-7D3E-4785-B991-00BB188F9462}" name="Consulta - minhas-vendas" description="Conexão com a consulta 'minhas-vendas' na pasta de trabalho." type="100" refreshedVersion="6" minRefreshableVersion="5">
    <extLst>
      <ext xmlns:x15="http://schemas.microsoft.com/office/spreadsheetml/2010/11/main" uri="{DE250136-89BD-433C-8126-D09CA5730AF9}">
        <x15:connection id="373c13cb-b164-46be-b637-4e2e9c2b9572"/>
      </ext>
    </extLst>
  </connection>
  <connection id="3" xr16:uid="{21A25006-597C-472B-A668-8C9387B2E64C}" keepAlive="1" name="Consulta - vendas-ph" description="Conexão com a consulta 'vendas-ph' na pasta de trabalho." type="5" refreshedVersion="6" background="1" saveData="1">
    <dbPr connection="Provider=Microsoft.Mashup.OleDb.1;Data Source=$Workbook$;Location=vendas-ph;Extended Properties=&quot;&quot;" command="SELECT * FROM [vendas-ph]"/>
  </connection>
  <connection id="4" xr16:uid="{83FE4F0F-6901-4D92-9D0E-7DABC8884DB4}" keepAlive="1" name="Consulta - vendas-ph-2024" description="Conexão com a consulta 'vendas-ph-2024' na pasta de trabalho." type="5" refreshedVersion="6" minRefreshableVersion="3" background="1" saveData="1">
    <dbPr connection="Provider=Microsoft.Mashup.OleDb.1;Data Source=$Workbook$;Location=vendas-ph-2024;Extended Properties=&quot;&quot;" command="SELECT * FROM [vendas-ph-2024]"/>
  </connection>
  <connection id="5" xr16:uid="{7090665A-AC59-44DE-BA39-ADBDF11EDE42}" keepAlive="1" name="ModelConnection_DadosExternos_1" description="Modelo de Dados" type="5" refreshedVersion="6" minRefreshableVersion="5" saveData="1">
    <dbPr connection="Data Model Connection" command="minhas-vendas" commandType="3"/>
    <extLst>
      <ext xmlns:x15="http://schemas.microsoft.com/office/spreadsheetml/2010/11/main" uri="{DE250136-89BD-433C-8126-D09CA5730AF9}">
        <x15:connection id="" model="1"/>
      </ext>
    </extLst>
  </connection>
  <connection id="6" xr16:uid="{13960762-E84E-4085-8F73-D8061DC2E615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7" xr16:uid="{C160AA72-D0DF-4FD7-972C-BB8B31BDE653}" name="WorksheetConnection_Vendas!$A$1:$K$25" type="102" refreshedVersion="6" minRefreshableVersion="5">
    <extLst>
      <ext xmlns:x15="http://schemas.microsoft.com/office/spreadsheetml/2010/11/main" uri="{DE250136-89BD-433C-8126-D09CA5730AF9}">
        <x15:connection id="Intervalo" autoDelete="1">
          <x15:rangePr sourceName="_xlcn.WorksheetConnection_VendasA1K251"/>
        </x15:connection>
      </ext>
    </extLst>
  </connection>
  <connection id="8" xr16:uid="{C99CA187-049B-435D-8A75-0F72AB4E95E8}" name="WorksheetConnection_VENDAS-CPL.xlsm!meus_clientes" type="102" refreshedVersion="6" minRefreshableVersion="5">
    <extLst>
      <ext xmlns:x15="http://schemas.microsoft.com/office/spreadsheetml/2010/11/main" uri="{DE250136-89BD-433C-8126-D09CA5730AF9}">
        <x15:connection id="meus_clientes">
          <x15:rangePr sourceName="_xlcn.WorksheetConnection_VENDASCPL.xlsmmeus_clientes1"/>
        </x15:connection>
      </ext>
    </extLst>
  </connection>
  <connection id="9" xr16:uid="{A01020B1-30BF-4CF0-8A5B-22482094AD99}" name="WorksheetConnection_VENDAS-CPL.xlsm!minhas_vendas" type="102" refreshedVersion="6" minRefreshableVersion="5">
    <extLst>
      <ext xmlns:x15="http://schemas.microsoft.com/office/spreadsheetml/2010/11/main" uri="{DE250136-89BD-433C-8126-D09CA5730AF9}">
        <x15:connection id="minhas_vendas">
          <x15:rangePr sourceName="_xlcn.WorksheetConnection_VENDASCPL.xlsmminhas_vendas1"/>
        </x15:connection>
      </ext>
    </extLst>
  </connection>
  <connection id="10" xr16:uid="{24A52285-DBDC-443C-BEB4-CFBC5E17D01B}" name="WorksheetConnection_VENDAS-CPL.xlsm!Tabela4" type="102" refreshedVersion="6" minRefreshableVersion="5">
    <extLst>
      <ext xmlns:x15="http://schemas.microsoft.com/office/spreadsheetml/2010/11/main" uri="{DE250136-89BD-433C-8126-D09CA5730AF9}">
        <x15:connection id="Tabela4">
          <x15:rangePr sourceName="_xlcn.WorksheetConnection_VENDASCPL.xlsmTabela41"/>
        </x15:connection>
      </ext>
    </extLst>
  </connection>
</connections>
</file>

<file path=xl/sharedStrings.xml><?xml version="1.0" encoding="utf-8"?>
<sst xmlns="http://schemas.openxmlformats.org/spreadsheetml/2006/main" count="1213" uniqueCount="842">
  <si>
    <t>SITUACAO</t>
  </si>
  <si>
    <t>RAZAOSOCIAL</t>
  </si>
  <si>
    <t>CIDADE</t>
  </si>
  <si>
    <t>UF</t>
  </si>
  <si>
    <t>CGC</t>
  </si>
  <si>
    <t>ULTIMACOMPRA</t>
  </si>
  <si>
    <t>FONE</t>
  </si>
  <si>
    <t>EMAIL</t>
  </si>
  <si>
    <t>ATIVO</t>
  </si>
  <si>
    <t>(00) 00000-0000</t>
  </si>
  <si>
    <t>n@o.tem</t>
  </si>
  <si>
    <t>RJ</t>
  </si>
  <si>
    <t>MS</t>
  </si>
  <si>
    <t>SP</t>
  </si>
  <si>
    <t>SAO CARLOS</t>
  </si>
  <si>
    <t>RIO DE JANEIRO</t>
  </si>
  <si>
    <t>SAO PAULO</t>
  </si>
  <si>
    <t>GO</t>
  </si>
  <si>
    <t>PA</t>
  </si>
  <si>
    <t>BOITUVA</t>
  </si>
  <si>
    <t>BLOQUEADO</t>
  </si>
  <si>
    <t>JOANA DARC FERREIRA DA SILVA REGATIERI - ME</t>
  </si>
  <si>
    <t>ELETRO DIMENSAO EQUIP. ELETR. LTDA</t>
  </si>
  <si>
    <t>67587311000170</t>
  </si>
  <si>
    <t>ECOTAUBATE AMBIENTAL S/A</t>
  </si>
  <si>
    <t>24890764000168</t>
  </si>
  <si>
    <t>HOSHIMAQ COME. DE MAQ. E PEÇAS EIRELI - EPP</t>
  </si>
  <si>
    <t>08833043000160</t>
  </si>
  <si>
    <t>FABIO A. GOLFFETTE - ME</t>
  </si>
  <si>
    <t>11329677000194</t>
  </si>
  <si>
    <t>I. M. COM. AGRICOLA LTDA</t>
  </si>
  <si>
    <t>06246927000192</t>
  </si>
  <si>
    <t>VLADEMIR CAMARGO &amp; CIA LTDA</t>
  </si>
  <si>
    <t>00797714000172</t>
  </si>
  <si>
    <t>GUACU MOTOSSERRAS LTDA</t>
  </si>
  <si>
    <t>10776161000125</t>
  </si>
  <si>
    <t>FRANCISCO JOSE GOMES CRUZ - ME</t>
  </si>
  <si>
    <t>09371489000182</t>
  </si>
  <si>
    <t>ANDRE LUIS LOPES RODRIGUES - ME</t>
  </si>
  <si>
    <t>37070585000126</t>
  </si>
  <si>
    <t>AGRIMARCHI PECAS MAQ. E SERVICOS AGRICOLAS LTDA</t>
  </si>
  <si>
    <t>41772360000199</t>
  </si>
  <si>
    <t>RP LOCACAO E COMERCIO DE EQUIPAMENTOS LTDA</t>
  </si>
  <si>
    <t>18024558000172</t>
  </si>
  <si>
    <t>SANDRO SOUZA ZEULE - ME</t>
  </si>
  <si>
    <t>06116110000108</t>
  </si>
  <si>
    <t>LOCATUDO LOC. DE EQUIP. DE PEQUENO PORTE LTDA.</t>
  </si>
  <si>
    <t>44491639000192</t>
  </si>
  <si>
    <t>DIAFER EIRELI - ME</t>
  </si>
  <si>
    <t>04798677000500</t>
  </si>
  <si>
    <t>BARRETO COM. E MANUT. AGRICOLAS LTDA</t>
  </si>
  <si>
    <t>18604549000150</t>
  </si>
  <si>
    <t>VALE MAQUINAS E JARDINS LTDA</t>
  </si>
  <si>
    <t>27881827000108</t>
  </si>
  <si>
    <t>LUCAS CARVALHO FARIA CARDOZO - ME</t>
  </si>
  <si>
    <t>38031635000129</t>
  </si>
  <si>
    <t>BETOMAQ INDUSTRIAL LTDA</t>
  </si>
  <si>
    <t>47982350000164</t>
  </si>
  <si>
    <t>MATHEUS HENRIQUE CANER - ME</t>
  </si>
  <si>
    <t>33455687000109</t>
  </si>
  <si>
    <t>MARIO LUCIO ALVES MACEDO...( REPR. COML. )</t>
  </si>
  <si>
    <t>95425063172</t>
  </si>
  <si>
    <t>SERGIO LUIZ IANNI GUIMARAES - ME</t>
  </si>
  <si>
    <t>07084088000116</t>
  </si>
  <si>
    <t>SAMARA CRISTINA DOMICIANO PEDROSO - ME</t>
  </si>
  <si>
    <t>42308761000155</t>
  </si>
  <si>
    <t>MURAYAMA ADVENTURE LTDA</t>
  </si>
  <si>
    <t>21542438000171</t>
  </si>
  <si>
    <t>TRES ELEFANTES COM. MAQ. AGRICOLAS LTDA</t>
  </si>
  <si>
    <t>58573817000139</t>
  </si>
  <si>
    <t>JETPUMP COMERCIO E ASSISTENCIA TECNICA LTDA</t>
  </si>
  <si>
    <t>02388343000109</t>
  </si>
  <si>
    <t>MONICA MONIQUE DE SA HONORATO - ME</t>
  </si>
  <si>
    <t>32577064000146</t>
  </si>
  <si>
    <t>TOTALMAQ COM. DE FER. LTDA  ( MOCOCA )</t>
  </si>
  <si>
    <t>08883668000136</t>
  </si>
  <si>
    <t>CALEONI - PRODUTOS PARA LIMPEZA LTDA</t>
  </si>
  <si>
    <t>11423809000142</t>
  </si>
  <si>
    <t>ROBERTO TESSITORI NETO - ME</t>
  </si>
  <si>
    <t>53834196000186</t>
  </si>
  <si>
    <t>AGRIMAQUINAS EQUIP. AGRICOLAS LTDA</t>
  </si>
  <si>
    <t>06539331000180</t>
  </si>
  <si>
    <t>INDS. THIELE IND. COM. DE MAQ. POL. LTDA</t>
  </si>
  <si>
    <t>03075916000107</t>
  </si>
  <si>
    <t>CASA DAS MAQUINAS FERRAMENTAS LTDA</t>
  </si>
  <si>
    <t>33570404000170</t>
  </si>
  <si>
    <t>ELETROTECNICA TROMBETA LTDA</t>
  </si>
  <si>
    <t>11016501000182</t>
  </si>
  <si>
    <t>FORTEMAC MAQUINAS PARA CONSTRUCAO LTDA</t>
  </si>
  <si>
    <t>11425470000113</t>
  </si>
  <si>
    <t>ADRIANO VIEIRA - ME</t>
  </si>
  <si>
    <t>27511298000150</t>
  </si>
  <si>
    <t>AGROTECH MANUTENCAO DE MAQ. AGRICOLAS LTDA</t>
  </si>
  <si>
    <t>40645761000115</t>
  </si>
  <si>
    <t>56966518000139</t>
  </si>
  <si>
    <t>ELETRO VINHEDO LTDA - ME</t>
  </si>
  <si>
    <t>05627365000164</t>
  </si>
  <si>
    <t>TATIANE DE PAULA CARNEIRO - ME</t>
  </si>
  <si>
    <t>21647641000102</t>
  </si>
  <si>
    <t>MASERTEK MAQUINAS ELETR. E EQUIPS. LTDA</t>
  </si>
  <si>
    <t>61958336000156</t>
  </si>
  <si>
    <t>COMERCIAL SERMAQ DE PECAS SERVICOS LTDA</t>
  </si>
  <si>
    <t>56850209000107</t>
  </si>
  <si>
    <t>MOVEP MOTORES MAQ. E ACESS. P/IND. LTDA</t>
  </si>
  <si>
    <t>45552676000126</t>
  </si>
  <si>
    <t>CORBINI COMERCIAL LTDA</t>
  </si>
  <si>
    <t>51046050000140</t>
  </si>
  <si>
    <t>PATRICIA APARECIDA CAMPANHA - ME</t>
  </si>
  <si>
    <t>53856570000144</t>
  </si>
  <si>
    <t>AGRIUNIAO MAQUINAS E SERVICOS LTDA</t>
  </si>
  <si>
    <t>21154830000143</t>
  </si>
  <si>
    <t>MECANICA AGRICOLA IMIGRANTES LTDA</t>
  </si>
  <si>
    <t>67513069000190</t>
  </si>
  <si>
    <t>CENTROMAQ MOTORES COM. DE MAQUINAS LTDA</t>
  </si>
  <si>
    <t>18816807000162</t>
  </si>
  <si>
    <t>COMERCIAL BRUNIERI LTDA</t>
  </si>
  <si>
    <t>48200638000100</t>
  </si>
  <si>
    <t>INCOMAC IND. E COM. MACHADO LTDA</t>
  </si>
  <si>
    <t>46820866000140</t>
  </si>
  <si>
    <t>BRUNO LOPES RODRIGUES MIDOGUTI - ME</t>
  </si>
  <si>
    <t>14849878000100</t>
  </si>
  <si>
    <t>J. O. ALMEIDA COM. PECAS, MOT. E MAQ. AGRIC. LTDA</t>
  </si>
  <si>
    <t>22517885000133</t>
  </si>
  <si>
    <t>WILSTON MARQUES DA SILVA - ME</t>
  </si>
  <si>
    <t>27745366000146</t>
  </si>
  <si>
    <t>ANDERSON DONIZETTI FERREIRA - ME</t>
  </si>
  <si>
    <t>36082516000170</t>
  </si>
  <si>
    <t>SANDRA DOS SANTOS PAISAGISMO</t>
  </si>
  <si>
    <t>08084880000133</t>
  </si>
  <si>
    <t>CAMPANELLI - GRAMADOS ESP. IMPL. A. VERDES LTDA</t>
  </si>
  <si>
    <t>49266182000136</t>
  </si>
  <si>
    <t>FERREIRA MAQ. PECAS E MANUT. EM GERAL EIRELI - ME</t>
  </si>
  <si>
    <t>29338307000189</t>
  </si>
  <si>
    <t>PALACIO DAS FERRAM. E PARAFUSOS LTDA</t>
  </si>
  <si>
    <t>68422419000175</t>
  </si>
  <si>
    <t>PAULISTA OBRAS E PAVIMENTACAO LTDA</t>
  </si>
  <si>
    <t>62802012000197</t>
  </si>
  <si>
    <t>BIANCA MORAL BORTOLETTO - ME</t>
  </si>
  <si>
    <t>45151133000105</t>
  </si>
  <si>
    <t>TARCISIO MACIA DE FARIA - EPP</t>
  </si>
  <si>
    <t>07346195000175</t>
  </si>
  <si>
    <t>CYM MAQUINAS E FERRAMENTAS LTDA</t>
  </si>
  <si>
    <t>38152663000102</t>
  </si>
  <si>
    <t>COM. MANUT. E LOCACAO DE MAQ. SCHIMIDT LTDA</t>
  </si>
  <si>
    <t>08673325000147</t>
  </si>
  <si>
    <t>TIAGO FERNANDES RODRIGUES - ME</t>
  </si>
  <si>
    <t>05642373000180</t>
  </si>
  <si>
    <t>CARDOSO &amp; ROSALIN LTDA</t>
  </si>
  <si>
    <t>22104838000168</t>
  </si>
  <si>
    <t>PINHAL COM. DE MAQUINAS E MOTORES LTDA</t>
  </si>
  <si>
    <t>19694881000116</t>
  </si>
  <si>
    <t xml:space="preserve">CASA DO CONST. AMERICANA COM. MAQ. ALUG. EQUIP. LTDA </t>
  </si>
  <si>
    <t>06138823000164</t>
  </si>
  <si>
    <t>CASA MACARI LOCACOES E VENDAS LTDA</t>
  </si>
  <si>
    <t>29999416000147</t>
  </si>
  <si>
    <t>CONSERVE COM. E MANUT. DE EQUIP. LTDA</t>
  </si>
  <si>
    <t>55727887000106</t>
  </si>
  <si>
    <t>CACAPAVA MAQUINAS LTDA</t>
  </si>
  <si>
    <t>17446690000100</t>
  </si>
  <si>
    <t>CACAPAVA LOCACOES LTDA</t>
  </si>
  <si>
    <t>34297868000117</t>
  </si>
  <si>
    <t>CAMPMAC COMERCIAL LTDA</t>
  </si>
  <si>
    <t>45239423000105</t>
  </si>
  <si>
    <t>MARCOS ANTONIO RODRIGUES - ME</t>
  </si>
  <si>
    <t>23792522000179</t>
  </si>
  <si>
    <t>GERSON DIONISIO DA SILVA &amp; CIA LTDA</t>
  </si>
  <si>
    <t>69322493000182</t>
  </si>
  <si>
    <t>M. M. VINHEDO MOTORES E MAQUINAS LTDA</t>
  </si>
  <si>
    <t>02570584000166</t>
  </si>
  <si>
    <t>CRIPAZ COM. DE FERRAMENTAS LTDA</t>
  </si>
  <si>
    <t>03706433000155</t>
  </si>
  <si>
    <t>CANTO VERDE EQUIPAMENTOS AGRICOLAS LTDA</t>
  </si>
  <si>
    <t>02626526000107</t>
  </si>
  <si>
    <t>CLEITON MASSONI - ME</t>
  </si>
  <si>
    <t>03702943000154</t>
  </si>
  <si>
    <t>AGRITRACTOR COM. DE PECAS P/ TRATORES, IMP. E JARD. LTDA</t>
  </si>
  <si>
    <t>11229412000114</t>
  </si>
  <si>
    <t>LORAINE MACHADO DE OLIVEIRA - ME</t>
  </si>
  <si>
    <t>29333731000130</t>
  </si>
  <si>
    <t>AGRO PECUARIA VALE DO RIO PARDO LTDA</t>
  </si>
  <si>
    <t>50072693000104</t>
  </si>
  <si>
    <t>RAFAEL VITOR DA SILVA MANUTENCAO - ME</t>
  </si>
  <si>
    <t>22104032000170</t>
  </si>
  <si>
    <t>JAIR APARECIDO DE JESUS JUNIOR - ME</t>
  </si>
  <si>
    <t>14628282000180</t>
  </si>
  <si>
    <t>JOLIMAQ AGRICOLA E INDUSTRIAL LTDA</t>
  </si>
  <si>
    <t>04564295000180</t>
  </si>
  <si>
    <t>HESLEI DOS ANJOS PINHEIRO - ME</t>
  </si>
  <si>
    <t>38214823000192</t>
  </si>
  <si>
    <t>MATHEUS ALESSANDRO MARQUES - ME</t>
  </si>
  <si>
    <t>50882824000100</t>
  </si>
  <si>
    <t>JODAN IND. E COM. LTDA</t>
  </si>
  <si>
    <t>02002877000147</t>
  </si>
  <si>
    <t>J. E. SERRAS FERRAMENTAS LTDA</t>
  </si>
  <si>
    <t>20405537000149</t>
  </si>
  <si>
    <t>ALESSANDRO APARECIDO BARROSSI - ME</t>
  </si>
  <si>
    <t>15278108000118</t>
  </si>
  <si>
    <t>OTA MECANICA LTDA - ME</t>
  </si>
  <si>
    <t>57414294000115</t>
  </si>
  <si>
    <t>AGNALDO NUNES RODRIGUES - ME</t>
  </si>
  <si>
    <t>57964652000163</t>
  </si>
  <si>
    <t>CARLA ALEXANDRA DE OLIVEIRA ABICAIR</t>
  </si>
  <si>
    <t>31266555000103</t>
  </si>
  <si>
    <t>MOTOMAC /FLORESTA E JARDIM LTDA</t>
  </si>
  <si>
    <t>54689407000105</t>
  </si>
  <si>
    <t>BRASMAM - BRASIL MAQUINAS E MOTORES LTDA</t>
  </si>
  <si>
    <t>34458240000407</t>
  </si>
  <si>
    <t>NAKATA E TAKEI COM. DE FERRAM. LTDA</t>
  </si>
  <si>
    <t>49038409000196</t>
  </si>
  <si>
    <t>DIMAF COM. DE MAQ. E FER. LTDA</t>
  </si>
  <si>
    <t>01896087000190</t>
  </si>
  <si>
    <t>FERTEC FERRAMENTAS EIRELI - ME</t>
  </si>
  <si>
    <t>35825145000106</t>
  </si>
  <si>
    <t>DIOGO ADONES DA SILVA FERRAMENTAS - ME</t>
  </si>
  <si>
    <t>11513931000100</t>
  </si>
  <si>
    <t>M. BRESSANIM &amp; CIA LTDA</t>
  </si>
  <si>
    <t>17607994000101</t>
  </si>
  <si>
    <t>ASSISTENCIA TECNICA CAMPO E JARDIM LTDA</t>
  </si>
  <si>
    <t>47379725000104</t>
  </si>
  <si>
    <t>LAMARCA COM. E ASSIST. TEC. EM MAQ. EIRELLE - ME</t>
  </si>
  <si>
    <t>16722782000102</t>
  </si>
  <si>
    <t>MARCELO CINTRA DA SILVA - ME</t>
  </si>
  <si>
    <t>17543105000190</t>
  </si>
  <si>
    <t>GUACU AGROMAQUINAS LTDA</t>
  </si>
  <si>
    <t>11593653000148</t>
  </si>
  <si>
    <t>OLIVA &amp; CAZALI LTDA</t>
  </si>
  <si>
    <t>01724440000154</t>
  </si>
  <si>
    <t>MULT BAURU PROD. E SERV. DE LIMPEZA LTDA</t>
  </si>
  <si>
    <t>17820500000172</t>
  </si>
  <si>
    <t>RM ASSISTENCIA TECNICA DE MAQ. E FERR. LTDA</t>
  </si>
  <si>
    <t>49578637000159</t>
  </si>
  <si>
    <t>COMPAC - MAQUINAS E EQUIPAMENTOS LTDA</t>
  </si>
  <si>
    <t>66607219000161</t>
  </si>
  <si>
    <t>CARLOS BONITO DE PINHO - ME</t>
  </si>
  <si>
    <t>21681369000187</t>
  </si>
  <si>
    <t>DEFAR COMERCIAL LTDA</t>
  </si>
  <si>
    <t>68441021000186</t>
  </si>
  <si>
    <t>BASE AGRICOLA LTDA</t>
  </si>
  <si>
    <t>12338245000102</t>
  </si>
  <si>
    <t>GERSON ROBSON FURLAN &amp; CIA LTDA</t>
  </si>
  <si>
    <t>09248165000151</t>
  </si>
  <si>
    <t>DEIVE HENRIQUE DOS SANTOS PECAS - ME</t>
  </si>
  <si>
    <t>07428431000100</t>
  </si>
  <si>
    <t>ALUGMAQ - LOCACAO E COM. DE FERRAM. LTDA</t>
  </si>
  <si>
    <t>07518999000104</t>
  </si>
  <si>
    <t>COISAS E ETC WEB LTDA</t>
  </si>
  <si>
    <t>47978504000144</t>
  </si>
  <si>
    <t>FLAVIO MENEGUEL - ME</t>
  </si>
  <si>
    <t>03122126000127</t>
  </si>
  <si>
    <t>IEDA SILVA LACERDA - ME</t>
  </si>
  <si>
    <t>36002810000124</t>
  </si>
  <si>
    <t>JOSAFA SALES DE JESUS &amp; CIA LTDA</t>
  </si>
  <si>
    <t>12419092000128</t>
  </si>
  <si>
    <t>LUIZ MARCELO MIRANDA - ME</t>
  </si>
  <si>
    <t>32471010000100</t>
  </si>
  <si>
    <t>PAULO HENRIQUE CUBA - ME</t>
  </si>
  <si>
    <t>18168581000130</t>
  </si>
  <si>
    <t>VANDERLEI JOSE FERRAZ - ME</t>
  </si>
  <si>
    <t>25344719000170</t>
  </si>
  <si>
    <t>3G LOCACAO E COM. DE EQUIPAMENTOS LTDA EPP</t>
  </si>
  <si>
    <t>24413667000184</t>
  </si>
  <si>
    <t>LAERCIO TAMAROZZI - ME</t>
  </si>
  <si>
    <t>40101879000182</t>
  </si>
  <si>
    <t>CAJAMAQ COM. FER. E IMPLS. AGRICOLAS LTDA</t>
  </si>
  <si>
    <t>08023337000126</t>
  </si>
  <si>
    <t>REAL GREEN COM. DE MAQ. E PECAS LTDA</t>
  </si>
  <si>
    <t>17821710000185</t>
  </si>
  <si>
    <t>31 MAQUINAS PECAS E ACESSORIOS LTDA</t>
  </si>
  <si>
    <t>37041552000158</t>
  </si>
  <si>
    <t>BENEDITO FRANCISCO VIEIRA - ME</t>
  </si>
  <si>
    <t>52195854000174</t>
  </si>
  <si>
    <t>PAULO CESAR FERREIRA DA SILVA SERVICOS - ME</t>
  </si>
  <si>
    <t>18563053000186</t>
  </si>
  <si>
    <t>MC MANUTENCAO, COMERCIO E LOCACAO LTDA</t>
  </si>
  <si>
    <t>17385890000108</t>
  </si>
  <si>
    <t>CASA DO LENHADOR MAQ. E EQUIP. AGRIC. LTDA</t>
  </si>
  <si>
    <t>67463349000130</t>
  </si>
  <si>
    <t>JL FERREIRA AGRONEGOCIOS LTDA</t>
  </si>
  <si>
    <t>54121703000105</t>
  </si>
  <si>
    <t>F. F. F. BORGES FERRAGENS E FER. LTDA</t>
  </si>
  <si>
    <t>23890788000154</t>
  </si>
  <si>
    <t>NIPO SANTO AMARO COM. E SERV. EIRELI - EPP</t>
  </si>
  <si>
    <t>62741319000125</t>
  </si>
  <si>
    <t>R. P. TAVEIRA FREITAS - ME</t>
  </si>
  <si>
    <t>45132924000180</t>
  </si>
  <si>
    <t>JESSICA FONTANA RODRIGUES - ME</t>
  </si>
  <si>
    <t>28226035000162</t>
  </si>
  <si>
    <t>JULIA TREVENSOLLI MENEGALDO GUEDES CAMARGO - ME</t>
  </si>
  <si>
    <t>47778189000101</t>
  </si>
  <si>
    <t>MARIA EUNICE ESTEFANI DE SOUSA - ME</t>
  </si>
  <si>
    <t>22662127000109</t>
  </si>
  <si>
    <t>TIP TRATORES E IMPL. LTDA</t>
  </si>
  <si>
    <t>44629004000109</t>
  </si>
  <si>
    <t>EQUILIBRIO INSUMOS AGRICOLAS LTDA</t>
  </si>
  <si>
    <t>09263706000463</t>
  </si>
  <si>
    <t>CASA DAS BOMBAS DE ATIBAIA LTDA</t>
  </si>
  <si>
    <t>10931168000174</t>
  </si>
  <si>
    <t>RAZERA COM. E MANUT. DE MAQ. PARA JARDINS LTDA</t>
  </si>
  <si>
    <t>34370642000102</t>
  </si>
  <si>
    <t>JOSE ROBERTO CALIXTO - ME</t>
  </si>
  <si>
    <t>33635480000116</t>
  </si>
  <si>
    <t>COMERCIAL AGRICOLA DE TRATORES EIRELI - EPP</t>
  </si>
  <si>
    <t>21086114000176</t>
  </si>
  <si>
    <t>ELCANPER EQUIP. AGRO-PECUARIOS LTDA</t>
  </si>
  <si>
    <t>59765255000198</t>
  </si>
  <si>
    <t>ALOC MAQUINAS E EQUIPAMENTOS LTDA</t>
  </si>
  <si>
    <t>18485514000140</t>
  </si>
  <si>
    <t>ANTONIO CARLOS DE PAULA FRANCA - ME</t>
  </si>
  <si>
    <t>74515990000137</t>
  </si>
  <si>
    <t>MATEUS PEREIRA DE ALMEIDA - ME</t>
  </si>
  <si>
    <t>32346271000190</t>
  </si>
  <si>
    <t>SPADA MAQ. FERRAMENTAS &amp; CIA LTDA</t>
  </si>
  <si>
    <t>08621865000187</t>
  </si>
  <si>
    <t>MAGAZINE DA PESCA LTDA</t>
  </si>
  <si>
    <t>00018241000168</t>
  </si>
  <si>
    <t>MARIANE ARAUJO DE LIMA - ME</t>
  </si>
  <si>
    <t>46640312000160</t>
  </si>
  <si>
    <t>VILA VELHA MAQUINAS E EQUIPAMENTOS LTDA</t>
  </si>
  <si>
    <t>29218063000281</t>
  </si>
  <si>
    <t>ECOTERRA SERVICOS DE LIMPEZA LTDA</t>
  </si>
  <si>
    <t>07291854000466</t>
  </si>
  <si>
    <t>MARCELO JOSE DE LIMA - ME</t>
  </si>
  <si>
    <t>26492673000108</t>
  </si>
  <si>
    <t>ROMAG PECAS E IMPL. P/TRATORES LTDA</t>
  </si>
  <si>
    <t>01678019000154</t>
  </si>
  <si>
    <t>FERNANDO GABRIEL DE MENEZES MANUTENCAO - ME</t>
  </si>
  <si>
    <t>15004216000100</t>
  </si>
  <si>
    <t>MARCOS MASSAHIKO MAKINO - ME</t>
  </si>
  <si>
    <t>18861067000186</t>
  </si>
  <si>
    <t>AGROTECNICA MATAO COM. E REPRESENTACOES LTDA</t>
  </si>
  <si>
    <t>54037858000150</t>
  </si>
  <si>
    <t>PRO - GAR INDUSTRIA E COMERCIO LTDA</t>
  </si>
  <si>
    <t>96579792000170</t>
  </si>
  <si>
    <t>CHACARAS &amp; JARDINS SERVICOS PAISAGISTICOS LTDA</t>
  </si>
  <si>
    <t>62883152000137</t>
  </si>
  <si>
    <t>COMERCIAL AGRO MAC UWAI LTDA</t>
  </si>
  <si>
    <t>04127745000177</t>
  </si>
  <si>
    <t>AGM MAQUINAS E PECAS LTDA</t>
  </si>
  <si>
    <t>46783966000143</t>
  </si>
  <si>
    <t>MARCOS SERI - ME</t>
  </si>
  <si>
    <t>02494017000178</t>
  </si>
  <si>
    <t>LAERCIO BENEDITO MENDES - ME</t>
  </si>
  <si>
    <t>05514293000149</t>
  </si>
  <si>
    <t>MM LEONI MAQUINAS E EQUIPAMENTOS LTDA</t>
  </si>
  <si>
    <t>47811543000152</t>
  </si>
  <si>
    <t>KYODO SOUTH AMERICA - COM. DE MAQ. LTDA</t>
  </si>
  <si>
    <t>10380045000192</t>
  </si>
  <si>
    <t>PONTOJATO COMERCIAL LTDA</t>
  </si>
  <si>
    <t>04346998000131</t>
  </si>
  <si>
    <t>JULIANO DIAS GRAMA - ME</t>
  </si>
  <si>
    <t>14488535000168</t>
  </si>
  <si>
    <t>MIZUTA HISASHI MAQ. E FER. LTDA</t>
  </si>
  <si>
    <t>72283807000190</t>
  </si>
  <si>
    <t>FORTTSERRAS COM. DE MAQ. E EQUIP. LTDA</t>
  </si>
  <si>
    <t>20696511000105</t>
  </si>
  <si>
    <t>A. R. DE ANDRADE EQUIP. AGRICOLAS EIRELI - EPP</t>
  </si>
  <si>
    <t>66815440000105</t>
  </si>
  <si>
    <t>D. GOES AGRICOLA MAQUINAS E FERRAMENTAS LTDA</t>
  </si>
  <si>
    <t>18768727000189</t>
  </si>
  <si>
    <t>ANTONIO CARLOS DE BARROS FILHO RINCAO - ME</t>
  </si>
  <si>
    <t>02243587000195</t>
  </si>
  <si>
    <t>M. A. DA SILVA LEANDRO &amp; CIA LTDA</t>
  </si>
  <si>
    <t>12240932000190</t>
  </si>
  <si>
    <t>BRUNA DE JESUS DA SILVA SANTOS EIRELI - ME</t>
  </si>
  <si>
    <t>15700534000106</t>
  </si>
  <si>
    <t>LUIZ ANDRE LANGE DE SOUZA - ME</t>
  </si>
  <si>
    <t>42404362000198</t>
  </si>
  <si>
    <t>WCR MAQUINAS EIRELI - ME</t>
  </si>
  <si>
    <t>20115926000130</t>
  </si>
  <si>
    <t>E. C. M. C. ROSSINI - ME</t>
  </si>
  <si>
    <t>06298260000171</t>
  </si>
  <si>
    <t>RF MOTORES ELETRICOS LTDA</t>
  </si>
  <si>
    <t>17835246000186</t>
  </si>
  <si>
    <t>ROSALIN &amp; ROSSI LTDA</t>
  </si>
  <si>
    <t>19436498000168</t>
  </si>
  <si>
    <t>ELIAS FAVARETO - ME</t>
  </si>
  <si>
    <t>17327948000159</t>
  </si>
  <si>
    <t>HENRIQUE MELACHAUSCAS - ME</t>
  </si>
  <si>
    <t>19383951000115</t>
  </si>
  <si>
    <t>MAYARA PEREIRA LIMA - ME</t>
  </si>
  <si>
    <t>50727060000189</t>
  </si>
  <si>
    <t>J. L. M. ALVES EQUIP. PARA AGRIC. E JARDINAGEM - ME</t>
  </si>
  <si>
    <t>27768313000140</t>
  </si>
  <si>
    <t xml:space="preserve">RM COM. E SERV. DE REPAROS EM MAQ. E MOT. EIRELI </t>
  </si>
  <si>
    <t>14237615000140</t>
  </si>
  <si>
    <t>JAIR RODRIGO MEIRELLES - ME</t>
  </si>
  <si>
    <t>42202486000190</t>
  </si>
  <si>
    <t>FIORAMAQ MAQUINAS E FERRAMENTAS EIRELI - EPP</t>
  </si>
  <si>
    <t>19178860000148</t>
  </si>
  <si>
    <t>SERGIO LUIS DE LUCA - ME</t>
  </si>
  <si>
    <t>03981371000190</t>
  </si>
  <si>
    <t>AGROPECUARIA PIONEIRA LTDA</t>
  </si>
  <si>
    <t>64868862000113</t>
  </si>
  <si>
    <t>MORALIS ANDRE COM. E LOC. DE MAQUINAS LTDA</t>
  </si>
  <si>
    <t>12378087000114</t>
  </si>
  <si>
    <t>OPUS UNIDOS COM. E SERVICOS LTDA</t>
  </si>
  <si>
    <t>04262947000121</t>
  </si>
  <si>
    <t>SOUZA ALVES MAQ. COM. E ASSISTENCIA TECNICA EIRELI</t>
  </si>
  <si>
    <t>14761547000114</t>
  </si>
  <si>
    <t>CASA NASSER COM. E REPR. LTDA</t>
  </si>
  <si>
    <t>52500287000112</t>
  </si>
  <si>
    <t>MEPALT-COMERCIO DE PECAS E SERVICOS LTDA</t>
  </si>
  <si>
    <t>54904123000186</t>
  </si>
  <si>
    <t>K. C. DOS SANTOS LOCACOES E PECAS - ME</t>
  </si>
  <si>
    <t>13678858000151</t>
  </si>
  <si>
    <t>AGROSERRA - MAQUINAS E EQUIP. LTDA</t>
  </si>
  <si>
    <t>08034044000144</t>
  </si>
  <si>
    <t>SERRAS VALE MAQUINAS E SERVICOS LTDA</t>
  </si>
  <si>
    <t>32245560000100</t>
  </si>
  <si>
    <t>RR GUERRA COMERCIO DE MAQUINAS E SERVICOS - ME</t>
  </si>
  <si>
    <t>28695191000172</t>
  </si>
  <si>
    <t>EQUICAMPO VENDAS E ASSIST. TECNICA LTDA</t>
  </si>
  <si>
    <t>36177282000144</t>
  </si>
  <si>
    <t>DIONATA ROBSON FERREIRA BERTOLDO - ME</t>
  </si>
  <si>
    <t>29455038000130</t>
  </si>
  <si>
    <t>CASA DA MAQUINA RIO CLARO LTDA</t>
  </si>
  <si>
    <t>14051977000142</t>
  </si>
  <si>
    <t>COMERCIAL TRETTEL LTDA</t>
  </si>
  <si>
    <t>03414354000170</t>
  </si>
  <si>
    <t>ESPACO VERDE MAQ. E MOTORES LTDA</t>
  </si>
  <si>
    <t>17339270000124</t>
  </si>
  <si>
    <t>GIVALDO ANGELOZZI - ME</t>
  </si>
  <si>
    <t>27421091000195</t>
  </si>
  <si>
    <t>MARCELO ANTONIO DOS SANTOS - ME</t>
  </si>
  <si>
    <t>12359424000126</t>
  </si>
  <si>
    <t>PALACIO DAS FERRAMENTAS E PARAFUSOS LTDA</t>
  </si>
  <si>
    <t>68422419000418</t>
  </si>
  <si>
    <t>SONIA APARECIDA MARCONDES FIORAMONTE - EPP</t>
  </si>
  <si>
    <t>03566456000101</t>
  </si>
  <si>
    <t>UNI PARTS PIRAJU LTDA</t>
  </si>
  <si>
    <t>05486680000119</t>
  </si>
  <si>
    <t>GRAMMA &amp; GRAMMA CORTADORES LTDA</t>
  </si>
  <si>
    <t>10969329000119</t>
  </si>
  <si>
    <t>SEBASTIAO SAMPAIO JUNIOR - ME</t>
  </si>
  <si>
    <t>31008684000100</t>
  </si>
  <si>
    <t>MARIYUSHI MENDES TSUKIMOTO - ME</t>
  </si>
  <si>
    <t>30851062000178</t>
  </si>
  <si>
    <t>TOPVALLE MAQUINAS E EQUIPAMENTOS LTDA</t>
  </si>
  <si>
    <t>04491655000160</t>
  </si>
  <si>
    <t>JABOMAQ COMERCIAL LTDA</t>
  </si>
  <si>
    <t>10646983000191</t>
  </si>
  <si>
    <t>EMIS COMERCIAL LTDA</t>
  </si>
  <si>
    <t>96668058000187</t>
  </si>
  <si>
    <t>AGRO - JARDIM COM. &amp; ASSISTENCIA TECNICA LTDA</t>
  </si>
  <si>
    <t>03598130000166</t>
  </si>
  <si>
    <t>WILSON OSSAMU MAKINO - ME</t>
  </si>
  <si>
    <t>05653849000188</t>
  </si>
  <si>
    <t>SAMEL COM. DE PECAS E REPAROS LTDA</t>
  </si>
  <si>
    <t>07830408000130</t>
  </si>
  <si>
    <t>AGROPECUARIA LIMA &amp; LIMA LTDA</t>
  </si>
  <si>
    <t>29796807000164</t>
  </si>
  <si>
    <t>AGROPECUARIA SERRANO LTDA</t>
  </si>
  <si>
    <t>03311272000109</t>
  </si>
  <si>
    <t>DIAFER LTDA  ( FILIAL-06 )</t>
  </si>
  <si>
    <t>04798677000682</t>
  </si>
  <si>
    <t>AMAZONIA AMBIENTAL - CONSERVACAO, SERV. E CONSTR. LTDA</t>
  </si>
  <si>
    <t>00935969000154</t>
  </si>
  <si>
    <t>TECMAR MANUTENCAO E SERVICOS EM MAQUINAS LTDA</t>
  </si>
  <si>
    <t>06052118000140</t>
  </si>
  <si>
    <t>V. R. MIL FLEXIVEIS LTDA</t>
  </si>
  <si>
    <t>09943186000197</t>
  </si>
  <si>
    <t>CAMARGO COM. DE PROD. AGROPECUARIOS LTDA</t>
  </si>
  <si>
    <t>64663677000192</t>
  </si>
  <si>
    <t>AGROLIMA AGROPECUARIA LTDA</t>
  </si>
  <si>
    <t>06353204000192</t>
  </si>
  <si>
    <t>PROCAMPO DE CAMPINAS LTDA</t>
  </si>
  <si>
    <t>01136637000172</t>
  </si>
  <si>
    <t>RCA PRODUTOS E SERVICOS LTDA ( S.P. )</t>
  </si>
  <si>
    <t>69207850000161</t>
  </si>
  <si>
    <t>AGRO RIO AGROPECUARIA LTDA</t>
  </si>
  <si>
    <t>37233003000185</t>
  </si>
  <si>
    <t>CAMPO E CIDADE COM. DE EQUIP. AGRIC. LTDA</t>
  </si>
  <si>
    <t>11378918000195</t>
  </si>
  <si>
    <t>WILSON CARDOSO DE MORAES IBIUNA - ME</t>
  </si>
  <si>
    <t>02986108000120</t>
  </si>
  <si>
    <t>LUCAS BAZZO - ME</t>
  </si>
  <si>
    <t>33618366000188</t>
  </si>
  <si>
    <t>SERRAS VALE COM. DE MAQUINAS LTDA</t>
  </si>
  <si>
    <t>04203820000131</t>
  </si>
  <si>
    <t>FT MAQUINAS E FERRAMENTAS LTDA</t>
  </si>
  <si>
    <t>12281276000174</t>
  </si>
  <si>
    <t>REGINA MARCIA CRUZ DE OLIVEIRA - ME</t>
  </si>
  <si>
    <t>09578096000144</t>
  </si>
  <si>
    <t>ALVES &amp; MEDEIROS LOCACAO DE EQUIPAMENTOS LTDA</t>
  </si>
  <si>
    <t>18273486000105</t>
  </si>
  <si>
    <t>PIONEIRA MAQUINAS, MOTORES E SERV. TEC. LTDA</t>
  </si>
  <si>
    <t>59704015000183</t>
  </si>
  <si>
    <t>ALUCAMP FERRAMENTAS ELETRICAS MAQ. E EQUIP. LTDA</t>
  </si>
  <si>
    <t>09210137000145</t>
  </si>
  <si>
    <t>SAO DIMAS MAQUINAS LTDA</t>
  </si>
  <si>
    <t>02591809000160</t>
  </si>
  <si>
    <t>WEMERSON DIOGO DE SOUZA MALTA - ME</t>
  </si>
  <si>
    <t>35336896000169</t>
  </si>
  <si>
    <t>CASA DA MAQUINA LIMEIRA LTDA</t>
  </si>
  <si>
    <t>11490761000195</t>
  </si>
  <si>
    <t>AGROCAC COM. E REPR. LTDA</t>
  </si>
  <si>
    <t>00302831000118</t>
  </si>
  <si>
    <t>DANILO SANTOS DE SOUZA - ME</t>
  </si>
  <si>
    <t>13633181000135</t>
  </si>
  <si>
    <t>MINETTO MOTORS  LTDA</t>
  </si>
  <si>
    <t>02588401000130</t>
  </si>
  <si>
    <t>JOSE CARLOS DOS SANTOS - ME</t>
  </si>
  <si>
    <t>44993885000142</t>
  </si>
  <si>
    <t>M. J. S. COMERCIO E ASSIST. TECNICA LTDA</t>
  </si>
  <si>
    <t>04463130000111</t>
  </si>
  <si>
    <t>SERV AGRO AGROPECUARIA LTDA</t>
  </si>
  <si>
    <t>24602243000168</t>
  </si>
  <si>
    <t>YURI DE CARVALHO AMORIM - ME</t>
  </si>
  <si>
    <t>29554036000107</t>
  </si>
  <si>
    <t>AGRIMODO EQUIPAMENTOS E ACESSORIOS LTDA</t>
  </si>
  <si>
    <t>39470856000166</t>
  </si>
  <si>
    <t>AMANDA MAZUQUINE FABRICIO SIMOES - ME</t>
  </si>
  <si>
    <t>53367257000142</t>
  </si>
  <si>
    <t>CARLOS EDUARDO BORIN MACHADO - ME</t>
  </si>
  <si>
    <t>30728886000155</t>
  </si>
  <si>
    <t>AGROPECUARIA VELOMAR LTDA</t>
  </si>
  <si>
    <t>51996494000147</t>
  </si>
  <si>
    <t>MAQUINAGRO PECAS E MAQUINAS AGRICOLAS LTDA</t>
  </si>
  <si>
    <t>17696668000118</t>
  </si>
  <si>
    <t>POWER COM. DE MAQ. E EQUIP. AGRICOLAS LTDA</t>
  </si>
  <si>
    <t>14464664000116</t>
  </si>
  <si>
    <t>LEANDRO CHAVES LUCIO - ME</t>
  </si>
  <si>
    <t>46200286000150</t>
  </si>
  <si>
    <t>R. POLETTI MOREIRA - ME</t>
  </si>
  <si>
    <t>10266637000188</t>
  </si>
  <si>
    <t>FEMAKBRASIL COM. DE MAQ. E FER. EIRELI - EPP</t>
  </si>
  <si>
    <t>27917473000104</t>
  </si>
  <si>
    <t>AMERITEC COMERCIO MAQUINAS E GERADORES LTDA</t>
  </si>
  <si>
    <t>34514352000187</t>
  </si>
  <si>
    <t>EDUARDO CINTRA DA SILVA - ME</t>
  </si>
  <si>
    <t>48398492000141</t>
  </si>
  <si>
    <t>07291854000113</t>
  </si>
  <si>
    <t>PAZELLI E PAZELLI AUTO PECAS LTDA</t>
  </si>
  <si>
    <t>08783275000150</t>
  </si>
  <si>
    <t>FORTEMAK MAQUINAS E FERRAMENTAS LTDA</t>
  </si>
  <si>
    <t>12618396000114</t>
  </si>
  <si>
    <t>MAXXIMUS MAQUINAS E EQUIPAMENTOS LTDA</t>
  </si>
  <si>
    <t>50271388000133</t>
  </si>
  <si>
    <t>GESIEL DELMONICO - ME</t>
  </si>
  <si>
    <t>36224268000154</t>
  </si>
  <si>
    <t>MERCANTIL JOHANNSEN COM.MAQS. E MOTORES LTDA</t>
  </si>
  <si>
    <t>05528654000106</t>
  </si>
  <si>
    <t>54478554000128</t>
  </si>
  <si>
    <t>AGROFITO-INSUMOS AGRICOLAS LTDA</t>
  </si>
  <si>
    <t>26518916000121</t>
  </si>
  <si>
    <t xml:space="preserve">ZAIR APARECIDO BUENO DE OLIVEIRA - ME </t>
  </si>
  <si>
    <t>08605876000173</t>
  </si>
  <si>
    <t>IGAPO MAQUINAS E PECAS LTDA</t>
  </si>
  <si>
    <t>08234911000195</t>
  </si>
  <si>
    <t xml:space="preserve">SONIA REGINA GOUVEA NIETO EQUIP. - EPP </t>
  </si>
  <si>
    <t>03804803000197</t>
  </si>
  <si>
    <t>PRO FORCE MAQUINAS E FER. LTDA</t>
  </si>
  <si>
    <t>15088025000166</t>
  </si>
  <si>
    <t>ELETRO MAGNETICA GUIDON LTDA</t>
  </si>
  <si>
    <t>60893245000117</t>
  </si>
  <si>
    <t>KINOSHITA &amp; UEDA LTDA</t>
  </si>
  <si>
    <t>71494934000175</t>
  </si>
  <si>
    <t>DIBEN - COM. DE PROD. AGRICOLAS LTDA</t>
  </si>
  <si>
    <t>01750184000170</t>
  </si>
  <si>
    <t xml:space="preserve">K. MAQUINAS E EQUIP. AGRIC. LTDA </t>
  </si>
  <si>
    <t>07180199000126</t>
  </si>
  <si>
    <t>MOTORTEC LUBR. MAQ. E MOTORES LTDA</t>
  </si>
  <si>
    <t>10924508000130</t>
  </si>
  <si>
    <t>IMPERIO COM. E SERV. MAQ. E FER. P/JARDINAGEM LTDA</t>
  </si>
  <si>
    <t>13747566000123</t>
  </si>
  <si>
    <t>ARIENS BR EIRELI - ME</t>
  </si>
  <si>
    <t>03616676000100</t>
  </si>
  <si>
    <t>MARIZA RAMOS MORA SARTORI &amp; CIA LTDA</t>
  </si>
  <si>
    <t>68100932000140</t>
  </si>
  <si>
    <t>ANTONIO FERNANDO MARCHI EIRELI - ME</t>
  </si>
  <si>
    <t>59604231000157</t>
  </si>
  <si>
    <t>AMAURI ALVES FERREIRA MAQUINAS LTDA</t>
  </si>
  <si>
    <t>12574825000107</t>
  </si>
  <si>
    <t>JOSE LUIZ FROZONI FILHO - ME</t>
  </si>
  <si>
    <t>16830064000150</t>
  </si>
  <si>
    <t>CL PREST. DE SERV. LOC. DE EQUIP. E COM. SOC. UNIPESS. LTDA</t>
  </si>
  <si>
    <t>17779438000112</t>
  </si>
  <si>
    <t>JOAO LUIS DA SILVA MANUTENCAO - ME</t>
  </si>
  <si>
    <t>48808037000177</t>
  </si>
  <si>
    <t>MAQ - GARDEN COM. EQUIP. P/JARDINAGEM LTDA</t>
  </si>
  <si>
    <t>07070971000157</t>
  </si>
  <si>
    <t>ATACADAO DA RACAO LTDA</t>
  </si>
  <si>
    <t>15483752000128</t>
  </si>
  <si>
    <t>JOSE LUIZ FROZONI &amp; CIA LTDA</t>
  </si>
  <si>
    <t>56774318000184</t>
  </si>
  <si>
    <t>MURAYAMA &amp; CIA LTDA</t>
  </si>
  <si>
    <t>46007316000106</t>
  </si>
  <si>
    <t>BRAMAC - EQUIPAMENTOS PARA CONSTRUCAO</t>
  </si>
  <si>
    <t>36417556000125</t>
  </si>
  <si>
    <t>F. G. MAQUINAS E ACESSORIOS - EIRELI</t>
  </si>
  <si>
    <t>37322445000106</t>
  </si>
  <si>
    <t>BURITI MAQUINAS E FERRAMENTAS LTDA</t>
  </si>
  <si>
    <t>11857978000190</t>
  </si>
  <si>
    <t>JORGE EDUARDO SANTOS - ME</t>
  </si>
  <si>
    <t>37248126000190</t>
  </si>
  <si>
    <t>SUPERJATO COM. DE MAQUINAS LTDA</t>
  </si>
  <si>
    <t>02872270000118</t>
  </si>
  <si>
    <t>EDEMIR REGATIERI - EPP</t>
  </si>
  <si>
    <t>24492602000171</t>
  </si>
  <si>
    <t>ALEX INACIO DA SILVA &amp; CIA LTDA</t>
  </si>
  <si>
    <t>09119748000182</t>
  </si>
  <si>
    <t>MARCOS RENATO GERSON HUNGARO - ME</t>
  </si>
  <si>
    <t>44534292000118</t>
  </si>
  <si>
    <t>FABIO ALBERTO DE SOUZA - ME</t>
  </si>
  <si>
    <t>20696466000180</t>
  </si>
  <si>
    <t>COMOGEL - MAQUINAS E MOTORES LTDA</t>
  </si>
  <si>
    <t>57805020000157</t>
  </si>
  <si>
    <t>RENATA CRISTINA DA SILVA GIMENES - ME</t>
  </si>
  <si>
    <t>34565579000151</t>
  </si>
  <si>
    <t>ALINE GUEDES GUARIZO OLIVEIRA - ME</t>
  </si>
  <si>
    <t>51394409000170</t>
  </si>
  <si>
    <t>COMERCIAL JONIC EQUIP. DE CORTE E SEGURANCA LTDA</t>
  </si>
  <si>
    <t>65413601000171</t>
  </si>
  <si>
    <t>E. M. ROCHA TRATORES E MAQ. - ME</t>
  </si>
  <si>
    <t>27227485000107</t>
  </si>
  <si>
    <t>JONAS CRISTIANO FERNANDES - ME</t>
  </si>
  <si>
    <t>54828906000128</t>
  </si>
  <si>
    <t>FIORAMAQ MOTORES E MANGUEIRAS LTDA</t>
  </si>
  <si>
    <t>54557293000131</t>
  </si>
  <si>
    <t>IRAN DE PAULA SILVA NOVAES - ME</t>
  </si>
  <si>
    <t>30759155000177</t>
  </si>
  <si>
    <t>L. M. CAMPO &amp; JARDIM, FERR. MOTORIZADAS EIRELI - ME</t>
  </si>
  <si>
    <t>30862615000198</t>
  </si>
  <si>
    <t>A. R. UEDA MAQUINAS LTDA</t>
  </si>
  <si>
    <t>17319143000163</t>
  </si>
  <si>
    <t>SEPAM - SERV. EQUIP. PROD. P/AGRIC. MAQ. LTDA ( S.C. )</t>
  </si>
  <si>
    <t>45362936000109</t>
  </si>
  <si>
    <t>DAIFORCE COM. DE MAQ. E MOTORES LTDA</t>
  </si>
  <si>
    <t>09266416000120</t>
  </si>
  <si>
    <t>AGRIMAQ ARUJA EQUIP. AGRICOLAS LTDA</t>
  </si>
  <si>
    <t>19059462000102</t>
  </si>
  <si>
    <t>ALLYSSON FERNANDO MARQUES - ME</t>
  </si>
  <si>
    <t>39631278000100</t>
  </si>
  <si>
    <t>VARDAO MAQ. E EQUIP. DE JARDINAGEM LTDA</t>
  </si>
  <si>
    <t>38493315000190</t>
  </si>
  <si>
    <t>CASA DO FAZENDEIRO SEAGRO COML. AGRO PEC. E REP. LTDA</t>
  </si>
  <si>
    <t>48278865000140</t>
  </si>
  <si>
    <t>EDGAR LUIS BEZERRA &amp; IRMAO LTDA</t>
  </si>
  <si>
    <t>02456225000182</t>
  </si>
  <si>
    <t xml:space="preserve">M. OLIVEIRA MELLO COM. DE PECAS - ME  </t>
  </si>
  <si>
    <t>20315876000134</t>
  </si>
  <si>
    <t>RAMOS MAQUINAS AGRICOLAS LTDA</t>
  </si>
  <si>
    <t>38832035000160</t>
  </si>
  <si>
    <t>JEDYAELL RONY DOS S. PEGORARO - ME</t>
  </si>
  <si>
    <t>28229176000139</t>
  </si>
  <si>
    <t>WALP - CONSTRUCOES E COM. LTDA</t>
  </si>
  <si>
    <t>02746719000100</t>
  </si>
  <si>
    <t>MOTOR SERRA JUNDIAI AGRO COM. LTDA</t>
  </si>
  <si>
    <t>52362464000141</t>
  </si>
  <si>
    <t>OLIVEIRA MAQUINAS DIST. DE PECAS E EQUIPAMENTOS LTDA</t>
  </si>
  <si>
    <t>25078087000140</t>
  </si>
  <si>
    <t>YAGO MENEGALDO MURAYAMA - ME</t>
  </si>
  <si>
    <t>45544522000192</t>
  </si>
  <si>
    <t>AGRO HOLAMBRA PULVERIZADORES LTDA</t>
  </si>
  <si>
    <t>25089870000100</t>
  </si>
  <si>
    <t>TERRANUTRI LTDA</t>
  </si>
  <si>
    <t>23089536000120</t>
  </si>
  <si>
    <t>VALDEMIR GALVAO BOITUVA - ME</t>
  </si>
  <si>
    <t>00318966000171</t>
  </si>
  <si>
    <t>ALFA TEK - IMPORTACAO E COMERCIO LTDA</t>
  </si>
  <si>
    <t>03001777000169</t>
  </si>
  <si>
    <t>RESCOM COM. E MANUT. DE MAQUINAS LTDA</t>
  </si>
  <si>
    <t>52745635000111</t>
  </si>
  <si>
    <t>LUIZ FERNANDEZ ECHEVERRIA - ME</t>
  </si>
  <si>
    <t>40648277000140</t>
  </si>
  <si>
    <t>TERRA NOVA AGRICULTURA E JARDINAGEM LTDA</t>
  </si>
  <si>
    <t>03055461000150</t>
  </si>
  <si>
    <t>ELIANA JANUARIO PEREIRA - ME</t>
  </si>
  <si>
    <t>23951952000196</t>
  </si>
  <si>
    <t>CARVALHO MAQ. AGRO E FERRAMENTAS SAO ROQUE LTDA</t>
  </si>
  <si>
    <t>50096709000100</t>
  </si>
  <si>
    <t>FLORESTA E JARDIM PIRACICABANO LTDA</t>
  </si>
  <si>
    <t>21108714000198</t>
  </si>
  <si>
    <t>ROBES E ROBES EQUIPAMENTOS E SERVICOS LTDA</t>
  </si>
  <si>
    <t>15466023000163</t>
  </si>
  <si>
    <t>CICLONORTE-MOTORES MANUT. COM. PECAS LTDA</t>
  </si>
  <si>
    <t>23493277000107</t>
  </si>
  <si>
    <t>SCARPA MANARA AGRO LTDA</t>
  </si>
  <si>
    <t>45037318000185</t>
  </si>
  <si>
    <t>AGRO SAO JOSE MAQUINAS AGRICOLAS LTDA</t>
  </si>
  <si>
    <t>49362733000165</t>
  </si>
  <si>
    <t>CAMILA VAZ DE CAMPOS - ME</t>
  </si>
  <si>
    <t>39297182000140</t>
  </si>
  <si>
    <t>RODRIGO GARCIA DELBIANCHI - ME</t>
  </si>
  <si>
    <t>40837180000185</t>
  </si>
  <si>
    <t>GREENSERVICE COM. E SERVICOS LTDA</t>
  </si>
  <si>
    <t>25218200000146</t>
  </si>
  <si>
    <t>BODINI TRATORES LTDA</t>
  </si>
  <si>
    <t>58971615000145</t>
  </si>
  <si>
    <t>VENDEDOR</t>
  </si>
  <si>
    <t>EXTERNO</t>
  </si>
  <si>
    <t>CODORCAMENTO</t>
  </si>
  <si>
    <t>DATA</t>
  </si>
  <si>
    <t>NF</t>
  </si>
  <si>
    <t>TOTAL</t>
  </si>
  <si>
    <t>Total</t>
  </si>
  <si>
    <t>LUÍS ROBERTO DE OLIVEIRA</t>
  </si>
  <si>
    <t>CAMPO GRANDE</t>
  </si>
  <si>
    <t>MAYCON ARRUDA</t>
  </si>
  <si>
    <t>E-COMMERCE</t>
  </si>
  <si>
    <t>22186227851</t>
  </si>
  <si>
    <t>728780</t>
  </si>
  <si>
    <t>397178</t>
  </si>
  <si>
    <t>JAISON ANDRE SILVA BRAGA</t>
  </si>
  <si>
    <t>VARGEM GRANDE</t>
  </si>
  <si>
    <t>MA</t>
  </si>
  <si>
    <t>97541311391</t>
  </si>
  <si>
    <t>716685</t>
  </si>
  <si>
    <t>396943</t>
  </si>
  <si>
    <t>HELIO DE ALMEIDA MORAIS</t>
  </si>
  <si>
    <t>PRESIDENTE DUTRA</t>
  </si>
  <si>
    <t>84801000363</t>
  </si>
  <si>
    <t>727848</t>
  </si>
  <si>
    <t>396454</t>
  </si>
  <si>
    <t>PATRÍCIA FARIAS PARIZ</t>
  </si>
  <si>
    <t>ANASTACIO</t>
  </si>
  <si>
    <t>01843297108</t>
  </si>
  <si>
    <t>727241</t>
  </si>
  <si>
    <t>395746</t>
  </si>
  <si>
    <t>VITOR SOARES TAVARES NOTA FISCAL ELETRÔNICA</t>
  </si>
  <si>
    <t>PALMAS</t>
  </si>
  <si>
    <t>TO</t>
  </si>
  <si>
    <t>03360728211</t>
  </si>
  <si>
    <t>727245</t>
  </si>
  <si>
    <t>395748</t>
  </si>
  <si>
    <t>ALEX DA CUNHA CAMARGO SANTOS</t>
  </si>
  <si>
    <t>42424009856</t>
  </si>
  <si>
    <t>726989</t>
  </si>
  <si>
    <t>395581</t>
  </si>
  <si>
    <t>HUILIAM BEZERRA</t>
  </si>
  <si>
    <t>BELEM</t>
  </si>
  <si>
    <t>69965870268</t>
  </si>
  <si>
    <t>726857</t>
  </si>
  <si>
    <t>395442</t>
  </si>
  <si>
    <t>P M DE CONTO LTDA</t>
  </si>
  <si>
    <t>GUARANTA DO NORTE</t>
  </si>
  <si>
    <t>MT</t>
  </si>
  <si>
    <t>19397471000103</t>
  </si>
  <si>
    <t>726008</t>
  </si>
  <si>
    <t>394811</t>
  </si>
  <si>
    <t>GUSTAVO HENRIQUE DE FREITAS</t>
  </si>
  <si>
    <t>QUIRINOPOLIS</t>
  </si>
  <si>
    <t>34991557100</t>
  </si>
  <si>
    <t>725860</t>
  </si>
  <si>
    <t>394706</t>
  </si>
  <si>
    <t>LUIZ ANTONIO DOS SANTOS</t>
  </si>
  <si>
    <t>07664307821</t>
  </si>
  <si>
    <t>725173</t>
  </si>
  <si>
    <t>393947</t>
  </si>
  <si>
    <t>ANTONIO TOMAZ DE AQUINO AZARIAS DA SILVA</t>
  </si>
  <si>
    <t>CUIABA</t>
  </si>
  <si>
    <t>36232319168</t>
  </si>
  <si>
    <t>724989</t>
  </si>
  <si>
    <t>393951</t>
  </si>
  <si>
    <t>IGOR FIGUEIREDO CARNEIRO</t>
  </si>
  <si>
    <t>PARNAIBA</t>
  </si>
  <si>
    <t>PI</t>
  </si>
  <si>
    <t>43985335320</t>
  </si>
  <si>
    <t>725077</t>
  </si>
  <si>
    <t>393949</t>
  </si>
  <si>
    <t>VANDREY PEDROZA BISPO</t>
  </si>
  <si>
    <t>CONCEICAO DA BARRA</t>
  </si>
  <si>
    <t>ES</t>
  </si>
  <si>
    <t>16581627739</t>
  </si>
  <si>
    <t>724145</t>
  </si>
  <si>
    <t>393089</t>
  </si>
  <si>
    <t>BRUNO CAMILO</t>
  </si>
  <si>
    <t>13004504790</t>
  </si>
  <si>
    <t>723901</t>
  </si>
  <si>
    <t>392933</t>
  </si>
  <si>
    <t>ERNESTO VOLANTE JUNIOR</t>
  </si>
  <si>
    <t>07302513813</t>
  </si>
  <si>
    <t>723588</t>
  </si>
  <si>
    <t>392717</t>
  </si>
  <si>
    <t>VITOR M. F. GOMES</t>
  </si>
  <si>
    <t>VICENCIA</t>
  </si>
  <si>
    <t>PE</t>
  </si>
  <si>
    <t>10203870417</t>
  </si>
  <si>
    <t>723243</t>
  </si>
  <si>
    <t>392328</t>
  </si>
  <si>
    <t>MARTA T. BORGES</t>
  </si>
  <si>
    <t>GUARACI</t>
  </si>
  <si>
    <t>07338162824</t>
  </si>
  <si>
    <t>723336</t>
  </si>
  <si>
    <t>392343</t>
  </si>
  <si>
    <t>FERNANDA MONTEIRO DA SILVA</t>
  </si>
  <si>
    <t>COXIM</t>
  </si>
  <si>
    <t>05022677636</t>
  </si>
  <si>
    <t>723052</t>
  </si>
  <si>
    <t>392162</t>
  </si>
  <si>
    <t>LEONARDO CHAVES DE SOUSA</t>
  </si>
  <si>
    <t>IGARAPE</t>
  </si>
  <si>
    <t>MG</t>
  </si>
  <si>
    <t>40345920600</t>
  </si>
  <si>
    <t>722853</t>
  </si>
  <si>
    <t>391973</t>
  </si>
  <si>
    <t>PRISCILLA RIBEIRO DE FREITAS MELO</t>
  </si>
  <si>
    <t>PARACATU</t>
  </si>
  <si>
    <t>06379355600</t>
  </si>
  <si>
    <t>722875</t>
  </si>
  <si>
    <t>392000</t>
  </si>
  <si>
    <t>MARCUS R. FIGUEIREDO</t>
  </si>
  <si>
    <t>SEROPEDICA</t>
  </si>
  <si>
    <t>07313905718</t>
  </si>
  <si>
    <t>722789</t>
  </si>
  <si>
    <t>391904</t>
  </si>
  <si>
    <t>648008</t>
  </si>
  <si>
    <t>328927</t>
  </si>
  <si>
    <t>627159</t>
  </si>
  <si>
    <t>310839</t>
  </si>
  <si>
    <t>VITOR PERES JACOB</t>
  </si>
  <si>
    <t>CORONEL FABRICIANO</t>
  </si>
  <si>
    <t>10917388666</t>
  </si>
  <si>
    <t>ERALDO LOPES</t>
  </si>
  <si>
    <t>SORRISO</t>
  </si>
  <si>
    <t>75977907168</t>
  </si>
  <si>
    <t>MARCELO B. VASCONCELOS</t>
  </si>
  <si>
    <t>NOVA SERRANA</t>
  </si>
  <si>
    <t>05635319670</t>
  </si>
  <si>
    <t>21 973096858</t>
  </si>
  <si>
    <t>STILLO NAUTICA LTDA</t>
  </si>
  <si>
    <t>UNAI</t>
  </si>
  <si>
    <t>17962363000100</t>
  </si>
  <si>
    <t>(38) 3677-3782</t>
  </si>
  <si>
    <t>stillonauticastihl@hotmail.com</t>
  </si>
  <si>
    <t>15 991604173</t>
  </si>
  <si>
    <t>REGINALDO BARBOSA DE SOUZA</t>
  </si>
  <si>
    <t>JARDIM</t>
  </si>
  <si>
    <t>60851899153</t>
  </si>
  <si>
    <t>(67) 99802-7296</t>
  </si>
  <si>
    <t>rb_souza2014@hotmail.com</t>
  </si>
  <si>
    <t>JOEL MORAES</t>
  </si>
  <si>
    <t>JOINVILLE</t>
  </si>
  <si>
    <t>SC</t>
  </si>
  <si>
    <t>00581309936</t>
  </si>
  <si>
    <t>(47) 98409-0950</t>
  </si>
  <si>
    <t>moraisjoel@hotmail.com</t>
  </si>
  <si>
    <t>Contagem</t>
  </si>
  <si>
    <t>soma</t>
  </si>
  <si>
    <t>MERCADOPECAS IND. ATAC. IMP. EXP. PECAS LTDA</t>
  </si>
  <si>
    <t>23111056000119</t>
  </si>
  <si>
    <t>D. LOPES HERNANDES AGROPECUARIA - 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</si>
</sst>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22" fontId="1" fillId="0" borderId="0" xfId="0" applyNumberFormat="1" applyFont="1"/>
    <xf numFmtId="0" fontId="2" fillId="0" borderId="0" xfId="0" applyFont="1" applyAlignment="1">
      <alignment horizontal="center"/>
    </xf>
    <xf numFmtId="14" fontId="1" fillId="0" borderId="0" xfId="0" applyNumberFormat="1" applyFont="1"/>
    <xf numFmtId="164" fontId="0" fillId="0" borderId="0" xfId="0" applyNumberFormat="1"/>
    <xf numFmtId="164" fontId="1" fillId="0" borderId="0" xfId="0" applyNumberFormat="1" applyFont="1"/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</cellXfs>
  <cellStyles count="1">
    <cellStyle name="Normal" xfId="0" builtinId="0"/>
  </cellStyles>
  <dxfs count="37">
    <dxf>
      <numFmt numFmtId="164" formatCode="&quot;R$&quot;\ #,##0.00"/>
    </dxf>
    <dxf>
      <numFmt numFmtId="164" formatCode="&quot;R$&quot;\ #,##0.0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7" formatCode="dd/mm/yyyy\ hh:mm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R$&quot;\ #,##0.0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dd/mm/yyyy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R$&quot;\ #,##0.0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32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7.xml"/><Relationship Id="rId31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openxmlformats.org/officeDocument/2006/relationships/customXml" Target="../customXml/item18.xml"/><Relationship Id="rId8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0</xdr:row>
          <xdr:rowOff>0</xdr:rowOff>
        </xdr:from>
        <xdr:to>
          <xdr:col>13</xdr:col>
          <xdr:colOff>9525</xdr:colOff>
          <xdr:row>3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295275</xdr:colOff>
          <xdr:row>3</xdr:row>
          <xdr:rowOff>0</xdr:rowOff>
        </xdr:from>
        <xdr:to>
          <xdr:col>18</xdr:col>
          <xdr:colOff>485775</xdr:colOff>
          <xdr:row>6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2B5F3727-B173-4103-A646-6AE7D90381A2}" autoFormatId="16" applyNumberFormats="0" applyBorderFormats="0" applyFontFormats="0" applyPatternFormats="0" applyAlignmentFormats="0" applyWidthHeightFormats="0">
  <queryTableRefresh nextId="11">
    <queryTableFields count="8">
      <queryTableField id="1" name="SITUACAO" tableColumnId="1"/>
      <queryTableField id="2" name="RAZAOSOCIAL" tableColumnId="2"/>
      <queryTableField id="3" name="CIDADE" tableColumnId="3"/>
      <queryTableField id="4" name="UF" tableColumnId="4"/>
      <queryTableField id="5" name="CGC" tableColumnId="5"/>
      <queryTableField id="6" name="ULTIMACOMPRA" tableColumnId="6"/>
      <queryTableField id="7" name="FONE" tableColumnId="7"/>
      <queryTableField id="8" name="EMAIL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connectionId="4" xr16:uid="{C799ABE6-6733-4BFE-A25D-4F4E6534439B}" autoFormatId="16" applyNumberFormats="0" applyBorderFormats="0" applyFontFormats="0" applyPatternFormats="0" applyAlignmentFormats="0" applyWidthHeightFormats="0">
  <queryTableRefresh nextId="5">
    <queryTableFields count="4">
      <queryTableField id="1" name="CGC" tableColumnId="1"/>
      <queryTableField id="2" name="RAZAOSOCIAL" tableColumnId="2"/>
      <queryTableField id="3" name="Contagem" tableColumnId="3"/>
      <queryTableField id="4" name="soma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3" xr16:uid="{C9DE4A9C-E1F8-4313-9ADE-1401C08B935F}" autoFormatId="16" applyNumberFormats="0" applyBorderFormats="0" applyFontFormats="0" applyPatternFormats="0" applyAlignmentFormats="0" applyWidthHeightFormats="0">
  <queryTableRefresh nextId="5">
    <queryTableFields count="4">
      <queryTableField id="1" name="CGC" tableColumnId="1"/>
      <queryTableField id="2" name="RAZAOSOCIAL" tableColumnId="2"/>
      <queryTableField id="3" name="Contagem" tableColumnId="3"/>
      <queryTableField id="4" name="soma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5" xr16:uid="{CBD345BC-AB9D-473A-84D0-CD974B6EF2D2}" autoFormatId="16" applyNumberFormats="0" applyBorderFormats="0" applyFontFormats="0" applyPatternFormats="0" applyAlignmentFormats="0" applyWidthHeightFormats="0">
  <queryTableRefresh nextId="12">
    <queryTableFields count="11">
      <queryTableField id="1" name="SITUACAO" tableColumnId="1"/>
      <queryTableField id="2" name="RAZAOSOCIAL" tableColumnId="2"/>
      <queryTableField id="3" name="CIDADE" tableColumnId="3"/>
      <queryTableField id="4" name="UF" tableColumnId="4"/>
      <queryTableField id="5" name="VENDEDOR" tableColumnId="5"/>
      <queryTableField id="6" name="EXTERNO" tableColumnId="6"/>
      <queryTableField id="7" name="CGC" tableColumnId="7"/>
      <queryTableField id="8" name="CODORCAMENTO" tableColumnId="8"/>
      <queryTableField id="9" name="DATA" tableColumnId="9"/>
      <queryTableField id="10" name="NF" tableColumnId="10"/>
      <queryTableField id="11" name="TOTAL" tableColumnId="11"/>
    </queryTableFields>
  </queryTableRefresh>
  <extLst>
    <ext xmlns:x15="http://schemas.microsoft.com/office/spreadsheetml/2010/11/main" uri="{883FBD77-0823-4a55-B5E3-86C4891E6966}">
      <x15:queryTable sourceDataName="Consulta - minhas-vendas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3054B7-CBA6-436A-9CE9-CFBE0E9AE63B}" name="meus_clientes" displayName="meus_clientes" ref="A1:H28" tableType="queryTable" totalsRowShown="0" headerRowDxfId="36" dataDxfId="35">
  <autoFilter ref="A1:H28" xr:uid="{30FBC4BA-8DAC-4E76-A272-0FB989465C6F}"/>
  <sortState ref="A2:H28">
    <sortCondition ref="F1:F28"/>
  </sortState>
  <tableColumns count="8">
    <tableColumn id="1" xr3:uid="{DCAC9579-D889-46DA-9A7A-90F773CD1179}" uniqueName="1" name="SITUACAO" queryTableFieldId="1" dataDxfId="10"/>
    <tableColumn id="2" xr3:uid="{CBF2C3A7-1C91-4169-B70D-802C8B0AD1F5}" uniqueName="2" name="RAZAOSOCIAL" queryTableFieldId="2" dataDxfId="9"/>
    <tableColumn id="3" xr3:uid="{2A530EDC-B5FA-4065-899D-A0B4CDEA9EDC}" uniqueName="3" name="CIDADE" queryTableFieldId="3" dataDxfId="8"/>
    <tableColumn id="4" xr3:uid="{B583D081-7BDB-4D8E-9F65-909CAC8FC2B3}" uniqueName="4" name="UF" queryTableFieldId="4" dataDxfId="7"/>
    <tableColumn id="5" xr3:uid="{5A60817C-2A87-46CF-B879-960E52BF2FFD}" uniqueName="5" name="CGC" queryTableFieldId="5" dataDxfId="6"/>
    <tableColumn id="6" xr3:uid="{B4446899-1534-42B6-A278-790C9403D5D0}" uniqueName="6" name="ULTIMACOMPRA" queryTableFieldId="6" dataDxfId="5"/>
    <tableColumn id="7" xr3:uid="{AAE319E2-2EF1-4687-9868-2CC0B9FD0EF1}" uniqueName="7" name="FONE" queryTableFieldId="7" dataDxfId="4"/>
    <tableColumn id="8" xr3:uid="{12F36053-DB34-4745-96DA-B2A93B045643}" uniqueName="8" name="EMAIL" queryTableFieldId="8" dataDxfId="3"/>
  </tableColumns>
  <tableStyleInfo name="TableStyleMedium9" showFirstColumn="1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2F9DEA8-BDBE-46A2-BFCA-EDFB874CB288}" name="vendas_ph_2024" displayName="vendas_ph_2024" ref="A1:D337" tableType="queryTable" totalsRowShown="0">
  <autoFilter ref="A1:D337" xr:uid="{FCCECCA9-C1DA-4518-8304-C2AD0B6DFC3D}"/>
  <tableColumns count="4">
    <tableColumn id="1" xr3:uid="{CC57CE75-A667-49A8-9B6C-A9AA41FA0F57}" uniqueName="1" name="CGC" queryTableFieldId="1"/>
    <tableColumn id="2" xr3:uid="{71A59064-D369-4343-BBBF-D14C8A9804D0}" uniqueName="2" name="RAZAOSOCIAL" queryTableFieldId="2"/>
    <tableColumn id="3" xr3:uid="{923A8D2E-ACB1-4B94-A4AE-77E1FEBDFA0E}" uniqueName="3" name="Contagem" queryTableFieldId="3"/>
    <tableColumn id="4" xr3:uid="{88DBB608-256F-4B87-A135-BA856485B33C}" uniqueName="4" name="soma" queryTableField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F767678-BAA1-4790-A230-0343DD57A836}" name="vendas_ph" displayName="vendas_ph" ref="A1:D60" tableType="queryTable" totalsRowCount="1" headerRowDxfId="2">
  <autoFilter ref="A1:D59" xr:uid="{BCBD1A4E-54C4-4138-876B-910404C4E39C}"/>
  <tableColumns count="4">
    <tableColumn id="1" xr3:uid="{8BDB54D0-9310-4E2A-87B8-005C18F308A9}" uniqueName="1" name="CGC" totalsRowLabel="Total" queryTableFieldId="1"/>
    <tableColumn id="2" xr3:uid="{6912604C-CF0C-40CF-A34D-764D9C6A084F}" uniqueName="2" name="RAZAOSOCIAL" queryTableFieldId="2"/>
    <tableColumn id="3" xr3:uid="{E0A74BD2-C463-4677-8AB9-791362773539}" uniqueName="3" name="Contagem" queryTableFieldId="3"/>
    <tableColumn id="4" xr3:uid="{A8E77496-BE18-4BEF-A482-275296A0591C}" uniqueName="4" name="soma" totalsRowFunction="sum" queryTableFieldId="4" dataDxfId="1" totalsRowDxfId="0"/>
  </tableColumns>
  <tableStyleInfo name="TableStyleMedium9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35C8619-B05F-4CEC-87C7-2FD1DB84B238}" name="minhas_vendas" displayName="minhas_vendas" ref="A1:K25" tableType="queryTable" totalsRowCount="1" headerRowDxfId="34" dataDxfId="33">
  <autoFilter ref="A1:K24" xr:uid="{03FA08F9-01CB-4791-8B83-8E2E07B6B4B1}"/>
  <tableColumns count="11">
    <tableColumn id="1" xr3:uid="{61D38335-7714-42CD-B540-9483382CD32E}" uniqueName="1" name="SITUACAO" totalsRowLabel="Total" queryTableFieldId="1" dataDxfId="21" totalsRowDxfId="22"/>
    <tableColumn id="2" xr3:uid="{9BA349AC-CE38-437A-B01E-63EE4814AA91}" uniqueName="2" name="RAZAOSOCIAL" queryTableFieldId="2" dataDxfId="20" totalsRowDxfId="23"/>
    <tableColumn id="3" xr3:uid="{07E36E79-5F04-4AAB-829F-564F6342E56E}" uniqueName="3" name="CIDADE" queryTableFieldId="3" dataDxfId="19" totalsRowDxfId="24"/>
    <tableColumn id="4" xr3:uid="{D40C9599-40FE-4BC4-84EA-71752B211415}" uniqueName="4" name="UF" queryTableFieldId="4" dataDxfId="18" totalsRowDxfId="25"/>
    <tableColumn id="5" xr3:uid="{324E8D4C-44E9-4B45-B915-2A494E1B6FCD}" uniqueName="5" name="VENDEDOR" queryTableFieldId="5" dataDxfId="17" totalsRowDxfId="26"/>
    <tableColumn id="6" xr3:uid="{28E77E0A-31DC-4876-BCB2-71FFB8C1C7CC}" uniqueName="6" name="EXTERNO" queryTableFieldId="6" dataDxfId="16" totalsRowDxfId="27"/>
    <tableColumn id="7" xr3:uid="{7E847AD4-9741-4F0D-B8C1-90B04F0A0200}" uniqueName="7" name="CGC" queryTableFieldId="7" dataDxfId="15" totalsRowDxfId="28"/>
    <tableColumn id="8" xr3:uid="{FC6E3D95-3E57-40EF-9B34-B0270E83250D}" uniqueName="8" name="CODORCAMENTO" queryTableFieldId="8" dataDxfId="14" totalsRowDxfId="29"/>
    <tableColumn id="9" xr3:uid="{5DCECBB7-DB5F-45A7-A8EE-B2D4AC2A3613}" uniqueName="9" name="DATA" queryTableFieldId="9" dataDxfId="13" totalsRowDxfId="30"/>
    <tableColumn id="10" xr3:uid="{548181D9-F0B2-43D3-99B2-56E4175FA446}" uniqueName="10" name="NF" queryTableFieldId="10" dataDxfId="12" totalsRowDxfId="31"/>
    <tableColumn id="11" xr3:uid="{A6EF9DF5-EFCF-40EA-BD6D-F4A365DD092A}" uniqueName="11" name="TOTAL" totalsRowFunction="sum" queryTableFieldId="11" dataDxfId="11" totalsRowDxfId="3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9EF87-D205-47A0-93C5-0F2DADBAB945}">
  <sheetPr codeName="Planilha2"/>
  <dimension ref="A1:H28"/>
  <sheetViews>
    <sheetView topLeftCell="A43" zoomScale="70" zoomScaleNormal="70" workbookViewId="0">
      <selection activeCell="K22" sqref="K22:K23"/>
    </sheetView>
  </sheetViews>
  <sheetFormatPr defaultRowHeight="18.75" x14ac:dyDescent="0.3"/>
  <cols>
    <col min="1" max="1" width="21" style="1" bestFit="1" customWidth="1"/>
    <col min="2" max="2" width="59.42578125" style="1" bestFit="1" customWidth="1"/>
    <col min="3" max="3" width="27.140625" style="1" bestFit="1" customWidth="1"/>
    <col min="4" max="4" width="11.42578125" style="1" bestFit="1" customWidth="1"/>
    <col min="5" max="5" width="21.7109375" style="1" bestFit="1" customWidth="1"/>
    <col min="6" max="6" width="29.7109375" style="1" customWidth="1"/>
    <col min="7" max="7" width="20.42578125" style="1" bestFit="1" customWidth="1"/>
    <col min="8" max="8" width="38.5703125" style="1" bestFit="1" customWidth="1"/>
    <col min="9" max="9" width="11.42578125" style="1" customWidth="1"/>
    <col min="10" max="10" width="9.140625" style="1"/>
    <col min="11" max="11" width="12.28515625" style="1" customWidth="1"/>
    <col min="12" max="16384" width="9.140625" style="1"/>
  </cols>
  <sheetData>
    <row r="1" spans="1:8" s="3" customFormat="1" ht="2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3">
      <c r="A2" s="1" t="s">
        <v>8</v>
      </c>
      <c r="B2" s="1" t="s">
        <v>810</v>
      </c>
      <c r="C2" s="1" t="s">
        <v>811</v>
      </c>
      <c r="D2" s="1" t="s">
        <v>792</v>
      </c>
      <c r="E2" s="1" t="s">
        <v>812</v>
      </c>
      <c r="F2" s="2">
        <v>32874</v>
      </c>
      <c r="G2" s="1" t="s">
        <v>9</v>
      </c>
      <c r="H2" s="1" t="s">
        <v>10</v>
      </c>
    </row>
    <row r="3" spans="1:8" x14ac:dyDescent="0.3">
      <c r="A3" s="1" t="s">
        <v>8</v>
      </c>
      <c r="B3" s="1" t="s">
        <v>813</v>
      </c>
      <c r="C3" s="1" t="s">
        <v>814</v>
      </c>
      <c r="D3" s="1" t="s">
        <v>736</v>
      </c>
      <c r="E3" s="1" t="s">
        <v>815</v>
      </c>
      <c r="F3" s="2">
        <v>32874</v>
      </c>
      <c r="G3" s="1" t="s">
        <v>9</v>
      </c>
      <c r="H3" s="1" t="s">
        <v>10</v>
      </c>
    </row>
    <row r="4" spans="1:8" x14ac:dyDescent="0.3">
      <c r="A4" s="1" t="s">
        <v>8</v>
      </c>
      <c r="B4" s="1" t="s">
        <v>816</v>
      </c>
      <c r="C4" s="1" t="s">
        <v>817</v>
      </c>
      <c r="D4" s="1" t="s">
        <v>792</v>
      </c>
      <c r="E4" s="1" t="s">
        <v>818</v>
      </c>
      <c r="F4" s="2">
        <v>32874</v>
      </c>
      <c r="G4" s="1" t="s">
        <v>9</v>
      </c>
      <c r="H4" s="1" t="s">
        <v>10</v>
      </c>
    </row>
    <row r="5" spans="1:8" x14ac:dyDescent="0.3">
      <c r="A5" s="1" t="s">
        <v>8</v>
      </c>
      <c r="B5" s="1" t="s">
        <v>801</v>
      </c>
      <c r="C5" s="1" t="s">
        <v>802</v>
      </c>
      <c r="D5" s="1" t="s">
        <v>11</v>
      </c>
      <c r="E5" s="1" t="s">
        <v>803</v>
      </c>
      <c r="F5" s="2">
        <v>45436</v>
      </c>
      <c r="G5" s="1" t="s">
        <v>9</v>
      </c>
      <c r="H5" s="1" t="s">
        <v>10</v>
      </c>
    </row>
    <row r="6" spans="1:8" x14ac:dyDescent="0.3">
      <c r="A6" s="1" t="s">
        <v>8</v>
      </c>
      <c r="B6" s="1" t="s">
        <v>796</v>
      </c>
      <c r="C6" s="1" t="s">
        <v>797</v>
      </c>
      <c r="D6" s="1" t="s">
        <v>792</v>
      </c>
      <c r="E6" s="1" t="s">
        <v>798</v>
      </c>
      <c r="F6" s="2">
        <v>45439</v>
      </c>
      <c r="G6" s="1" t="s">
        <v>9</v>
      </c>
      <c r="H6" s="1" t="s">
        <v>10</v>
      </c>
    </row>
    <row r="7" spans="1:8" x14ac:dyDescent="0.3">
      <c r="A7" s="1" t="s">
        <v>8</v>
      </c>
      <c r="B7" s="1" t="s">
        <v>790</v>
      </c>
      <c r="C7" s="1" t="s">
        <v>791</v>
      </c>
      <c r="D7" s="1" t="s">
        <v>792</v>
      </c>
      <c r="E7" s="1" t="s">
        <v>793</v>
      </c>
      <c r="F7" s="2">
        <v>45439</v>
      </c>
      <c r="G7" s="1" t="s">
        <v>9</v>
      </c>
      <c r="H7" s="1" t="s">
        <v>10</v>
      </c>
    </row>
    <row r="8" spans="1:8" x14ac:dyDescent="0.3">
      <c r="A8" s="1" t="s">
        <v>8</v>
      </c>
      <c r="B8" s="1" t="s">
        <v>785</v>
      </c>
      <c r="C8" s="1" t="s">
        <v>786</v>
      </c>
      <c r="D8" s="1" t="s">
        <v>12</v>
      </c>
      <c r="E8" s="1" t="s">
        <v>787</v>
      </c>
      <c r="F8" s="2">
        <v>45440</v>
      </c>
      <c r="G8" s="1" t="s">
        <v>9</v>
      </c>
      <c r="H8" s="1" t="s">
        <v>10</v>
      </c>
    </row>
    <row r="9" spans="1:8" x14ac:dyDescent="0.3">
      <c r="A9" s="1" t="s">
        <v>8</v>
      </c>
      <c r="B9" s="1" t="s">
        <v>780</v>
      </c>
      <c r="C9" s="1" t="s">
        <v>781</v>
      </c>
      <c r="D9" s="1" t="s">
        <v>13</v>
      </c>
      <c r="E9" s="1" t="s">
        <v>782</v>
      </c>
      <c r="F9" s="2">
        <v>45441</v>
      </c>
      <c r="G9" s="1" t="s">
        <v>9</v>
      </c>
      <c r="H9" s="1" t="s">
        <v>10</v>
      </c>
    </row>
    <row r="10" spans="1:8" x14ac:dyDescent="0.3">
      <c r="A10" s="1" t="s">
        <v>8</v>
      </c>
      <c r="B10" s="1" t="s">
        <v>774</v>
      </c>
      <c r="C10" s="1" t="s">
        <v>775</v>
      </c>
      <c r="D10" s="1" t="s">
        <v>776</v>
      </c>
      <c r="E10" s="1" t="s">
        <v>777</v>
      </c>
      <c r="F10" s="2">
        <v>45441</v>
      </c>
      <c r="G10" s="1" t="s">
        <v>9</v>
      </c>
      <c r="H10" s="1" t="s">
        <v>10</v>
      </c>
    </row>
    <row r="11" spans="1:8" x14ac:dyDescent="0.3">
      <c r="A11" s="1" t="s">
        <v>8</v>
      </c>
      <c r="B11" s="1" t="s">
        <v>770</v>
      </c>
      <c r="C11" s="1" t="s">
        <v>14</v>
      </c>
      <c r="D11" s="1" t="s">
        <v>13</v>
      </c>
      <c r="E11" s="1" t="s">
        <v>771</v>
      </c>
      <c r="F11" s="2">
        <v>45443</v>
      </c>
      <c r="G11" s="1" t="s">
        <v>9</v>
      </c>
      <c r="H11" s="1" t="s">
        <v>10</v>
      </c>
    </row>
    <row r="12" spans="1:8" x14ac:dyDescent="0.3">
      <c r="A12" s="1" t="s">
        <v>8</v>
      </c>
      <c r="B12" s="1" t="s">
        <v>766</v>
      </c>
      <c r="C12" s="1" t="s">
        <v>15</v>
      </c>
      <c r="D12" s="1" t="s">
        <v>11</v>
      </c>
      <c r="E12" s="1" t="s">
        <v>767</v>
      </c>
      <c r="F12" s="2">
        <v>45446</v>
      </c>
      <c r="G12" s="1" t="s">
        <v>819</v>
      </c>
      <c r="H12" s="1" t="s">
        <v>10</v>
      </c>
    </row>
    <row r="13" spans="1:8" x14ac:dyDescent="0.3">
      <c r="A13" s="1" t="s">
        <v>8</v>
      </c>
      <c r="B13" s="1" t="s">
        <v>760</v>
      </c>
      <c r="C13" s="1" t="s">
        <v>761</v>
      </c>
      <c r="D13" s="1" t="s">
        <v>762</v>
      </c>
      <c r="E13" s="1" t="s">
        <v>763</v>
      </c>
      <c r="F13" s="2">
        <v>45448</v>
      </c>
      <c r="G13" s="1" t="s">
        <v>9</v>
      </c>
      <c r="H13" s="1" t="s">
        <v>10</v>
      </c>
    </row>
    <row r="14" spans="1:8" x14ac:dyDescent="0.3">
      <c r="A14" s="1" t="s">
        <v>8</v>
      </c>
      <c r="B14" s="1" t="s">
        <v>754</v>
      </c>
      <c r="C14" s="1" t="s">
        <v>755</v>
      </c>
      <c r="D14" s="1" t="s">
        <v>756</v>
      </c>
      <c r="E14" s="1" t="s">
        <v>757</v>
      </c>
      <c r="F14" s="2">
        <v>45454</v>
      </c>
      <c r="G14" s="1" t="s">
        <v>9</v>
      </c>
      <c r="H14" s="1" t="s">
        <v>10</v>
      </c>
    </row>
    <row r="15" spans="1:8" x14ac:dyDescent="0.3">
      <c r="A15" s="1" t="s">
        <v>8</v>
      </c>
      <c r="B15" s="1" t="s">
        <v>745</v>
      </c>
      <c r="C15" s="1" t="s">
        <v>16</v>
      </c>
      <c r="D15" s="1" t="s">
        <v>13</v>
      </c>
      <c r="E15" s="1" t="s">
        <v>746</v>
      </c>
      <c r="F15" s="2">
        <v>45454</v>
      </c>
      <c r="G15" s="1" t="s">
        <v>9</v>
      </c>
      <c r="H15" s="1" t="s">
        <v>10</v>
      </c>
    </row>
    <row r="16" spans="1:8" x14ac:dyDescent="0.3">
      <c r="A16" s="1" t="s">
        <v>8</v>
      </c>
      <c r="B16" s="1" t="s">
        <v>749</v>
      </c>
      <c r="C16" s="1" t="s">
        <v>750</v>
      </c>
      <c r="D16" s="1" t="s">
        <v>736</v>
      </c>
      <c r="E16" s="1" t="s">
        <v>751</v>
      </c>
      <c r="F16" s="2">
        <v>45454</v>
      </c>
      <c r="G16" s="1" t="s">
        <v>9</v>
      </c>
      <c r="H16" s="1" t="s">
        <v>10</v>
      </c>
    </row>
    <row r="17" spans="1:8" x14ac:dyDescent="0.3">
      <c r="A17" s="1" t="s">
        <v>8</v>
      </c>
      <c r="B17" s="1" t="s">
        <v>820</v>
      </c>
      <c r="C17" s="1" t="s">
        <v>821</v>
      </c>
      <c r="D17" s="1" t="s">
        <v>792</v>
      </c>
      <c r="E17" s="1" t="s">
        <v>822</v>
      </c>
      <c r="F17" s="2">
        <v>45455</v>
      </c>
      <c r="G17" s="1" t="s">
        <v>823</v>
      </c>
      <c r="H17" s="1" t="s">
        <v>824</v>
      </c>
    </row>
    <row r="18" spans="1:8" x14ac:dyDescent="0.3">
      <c r="A18" s="1" t="s">
        <v>8</v>
      </c>
      <c r="B18" s="1" t="s">
        <v>740</v>
      </c>
      <c r="C18" s="1" t="s">
        <v>741</v>
      </c>
      <c r="D18" s="1" t="s">
        <v>17</v>
      </c>
      <c r="E18" s="1" t="s">
        <v>742</v>
      </c>
      <c r="F18" s="2">
        <v>45460</v>
      </c>
      <c r="G18" s="1" t="s">
        <v>9</v>
      </c>
      <c r="H18" s="1" t="s">
        <v>10</v>
      </c>
    </row>
    <row r="19" spans="1:8" x14ac:dyDescent="0.3">
      <c r="A19" s="1" t="s">
        <v>8</v>
      </c>
      <c r="B19" s="1" t="s">
        <v>734</v>
      </c>
      <c r="C19" s="1" t="s">
        <v>735</v>
      </c>
      <c r="D19" s="1" t="s">
        <v>736</v>
      </c>
      <c r="E19" s="1" t="s">
        <v>737</v>
      </c>
      <c r="F19" s="2">
        <v>45461</v>
      </c>
      <c r="G19" s="1" t="s">
        <v>9</v>
      </c>
      <c r="H19" s="1" t="s">
        <v>10</v>
      </c>
    </row>
    <row r="20" spans="1:8" x14ac:dyDescent="0.3">
      <c r="A20" s="1" t="s">
        <v>8</v>
      </c>
      <c r="B20" s="1" t="s">
        <v>729</v>
      </c>
      <c r="C20" s="1" t="s">
        <v>730</v>
      </c>
      <c r="D20" s="1" t="s">
        <v>18</v>
      </c>
      <c r="E20" s="1" t="s">
        <v>731</v>
      </c>
      <c r="F20" s="2">
        <v>45467</v>
      </c>
      <c r="G20" s="1" t="s">
        <v>9</v>
      </c>
      <c r="H20" s="1" t="s">
        <v>10</v>
      </c>
    </row>
    <row r="21" spans="1:8" x14ac:dyDescent="0.3">
      <c r="A21" s="1" t="s">
        <v>8</v>
      </c>
      <c r="B21" s="1" t="s">
        <v>725</v>
      </c>
      <c r="C21" s="1" t="s">
        <v>19</v>
      </c>
      <c r="D21" s="1" t="s">
        <v>13</v>
      </c>
      <c r="E21" s="1" t="s">
        <v>726</v>
      </c>
      <c r="F21" s="2">
        <v>45468</v>
      </c>
      <c r="G21" s="1" t="s">
        <v>825</v>
      </c>
      <c r="H21" s="1" t="s">
        <v>10</v>
      </c>
    </row>
    <row r="22" spans="1:8" x14ac:dyDescent="0.3">
      <c r="A22" s="1" t="s">
        <v>8</v>
      </c>
      <c r="B22" s="1" t="s">
        <v>719</v>
      </c>
      <c r="C22" s="1" t="s">
        <v>720</v>
      </c>
      <c r="D22" s="1" t="s">
        <v>721</v>
      </c>
      <c r="E22" s="1" t="s">
        <v>722</v>
      </c>
      <c r="F22" s="2">
        <v>45469</v>
      </c>
      <c r="G22" s="1" t="s">
        <v>9</v>
      </c>
      <c r="H22" s="1" t="s">
        <v>10</v>
      </c>
    </row>
    <row r="23" spans="1:8" x14ac:dyDescent="0.3">
      <c r="A23" s="1" t="s">
        <v>8</v>
      </c>
      <c r="B23" s="1" t="s">
        <v>714</v>
      </c>
      <c r="C23" s="1" t="s">
        <v>715</v>
      </c>
      <c r="D23" s="1" t="s">
        <v>12</v>
      </c>
      <c r="E23" s="1" t="s">
        <v>716</v>
      </c>
      <c r="F23" s="2">
        <v>45469</v>
      </c>
      <c r="G23" s="1" t="s">
        <v>9</v>
      </c>
      <c r="H23" s="1" t="s">
        <v>10</v>
      </c>
    </row>
    <row r="24" spans="1:8" x14ac:dyDescent="0.3">
      <c r="A24" s="1" t="s">
        <v>8</v>
      </c>
      <c r="B24" s="1" t="s">
        <v>826</v>
      </c>
      <c r="C24" s="1" t="s">
        <v>827</v>
      </c>
      <c r="D24" s="1" t="s">
        <v>12</v>
      </c>
      <c r="E24" s="1" t="s">
        <v>828</v>
      </c>
      <c r="F24" s="2">
        <v>45471</v>
      </c>
      <c r="G24" s="1" t="s">
        <v>829</v>
      </c>
      <c r="H24" s="1" t="s">
        <v>830</v>
      </c>
    </row>
    <row r="25" spans="1:8" x14ac:dyDescent="0.3">
      <c r="A25" s="1" t="s">
        <v>8</v>
      </c>
      <c r="B25" s="1" t="s">
        <v>709</v>
      </c>
      <c r="C25" s="1" t="s">
        <v>710</v>
      </c>
      <c r="D25" s="1" t="s">
        <v>705</v>
      </c>
      <c r="E25" s="1" t="s">
        <v>711</v>
      </c>
      <c r="F25" s="2">
        <v>45474</v>
      </c>
      <c r="G25" s="1" t="s">
        <v>9</v>
      </c>
      <c r="H25" s="1" t="s">
        <v>10</v>
      </c>
    </row>
    <row r="26" spans="1:8" x14ac:dyDescent="0.3">
      <c r="A26" s="1" t="s">
        <v>20</v>
      </c>
      <c r="B26" s="1" t="s">
        <v>831</v>
      </c>
      <c r="C26" s="1" t="s">
        <v>832</v>
      </c>
      <c r="D26" s="1" t="s">
        <v>833</v>
      </c>
      <c r="E26" s="1" t="s">
        <v>834</v>
      </c>
      <c r="F26" s="2">
        <v>45476</v>
      </c>
      <c r="G26" s="1" t="s">
        <v>835</v>
      </c>
      <c r="H26" s="1" t="s">
        <v>836</v>
      </c>
    </row>
    <row r="27" spans="1:8" x14ac:dyDescent="0.3">
      <c r="A27" s="1" t="s">
        <v>8</v>
      </c>
      <c r="B27" s="1" t="s">
        <v>703</v>
      </c>
      <c r="C27" s="1" t="s">
        <v>704</v>
      </c>
      <c r="D27" s="1" t="s">
        <v>705</v>
      </c>
      <c r="E27" s="1" t="s">
        <v>706</v>
      </c>
      <c r="F27" s="2">
        <v>45477</v>
      </c>
      <c r="G27" s="1" t="s">
        <v>9</v>
      </c>
      <c r="H27" s="1" t="s">
        <v>10</v>
      </c>
    </row>
    <row r="28" spans="1:8" x14ac:dyDescent="0.3">
      <c r="A28" s="1" t="s">
        <v>8</v>
      </c>
      <c r="B28" s="1" t="s">
        <v>696</v>
      </c>
      <c r="C28" s="1" t="s">
        <v>697</v>
      </c>
      <c r="D28" s="1" t="s">
        <v>12</v>
      </c>
      <c r="E28" s="1" t="s">
        <v>700</v>
      </c>
      <c r="F28" s="2">
        <v>45481</v>
      </c>
      <c r="G28" s="1" t="s">
        <v>9</v>
      </c>
      <c r="H28" s="1" t="s">
        <v>10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ange_path_clientes">
                <anchor moveWithCells="1" sizeWithCells="1">
                  <from>
                    <xdr:col>8</xdr:col>
                    <xdr:colOff>180975</xdr:colOff>
                    <xdr:row>0</xdr:row>
                    <xdr:rowOff>0</xdr:rowOff>
                  </from>
                  <to>
                    <xdr:col>13</xdr:col>
                    <xdr:colOff>9525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221AE-5F68-4ACA-B0BB-2EB25BC15574}">
  <sheetPr codeName="Planilha8"/>
  <dimension ref="A1:D337"/>
  <sheetViews>
    <sheetView tabSelected="1" workbookViewId="0">
      <selection sqref="A1:D337"/>
    </sheetView>
  </sheetViews>
  <sheetFormatPr defaultRowHeight="15" x14ac:dyDescent="0.25"/>
  <cols>
    <col min="1" max="1" width="15.140625" bestFit="1" customWidth="1"/>
    <col min="2" max="2" width="59" bestFit="1" customWidth="1"/>
    <col min="3" max="3" width="12.28515625" bestFit="1" customWidth="1"/>
    <col min="4" max="4" width="10" bestFit="1" customWidth="1"/>
  </cols>
  <sheetData>
    <row r="1" spans="1:4" x14ac:dyDescent="0.25">
      <c r="A1" t="s">
        <v>4</v>
      </c>
      <c r="B1" t="s">
        <v>1</v>
      </c>
      <c r="C1" t="s">
        <v>837</v>
      </c>
      <c r="D1" t="s">
        <v>838</v>
      </c>
    </row>
    <row r="2" spans="1:4" x14ac:dyDescent="0.25">
      <c r="A2" t="s">
        <v>320</v>
      </c>
      <c r="B2" t="s">
        <v>319</v>
      </c>
      <c r="C2">
        <v>12</v>
      </c>
      <c r="D2">
        <v>89911.11</v>
      </c>
    </row>
    <row r="3" spans="1:4" x14ac:dyDescent="0.25">
      <c r="A3" t="s">
        <v>132</v>
      </c>
      <c r="B3" t="s">
        <v>131</v>
      </c>
      <c r="C3">
        <v>4</v>
      </c>
      <c r="D3">
        <v>4411</v>
      </c>
    </row>
    <row r="4" spans="1:4" x14ac:dyDescent="0.25">
      <c r="A4" t="s">
        <v>342</v>
      </c>
      <c r="B4" t="s">
        <v>341</v>
      </c>
      <c r="C4">
        <v>1</v>
      </c>
      <c r="D4">
        <v>1665</v>
      </c>
    </row>
    <row r="5" spans="1:4" x14ac:dyDescent="0.25">
      <c r="A5" t="s">
        <v>594</v>
      </c>
      <c r="B5" t="s">
        <v>593</v>
      </c>
      <c r="C5">
        <v>9</v>
      </c>
      <c r="D5">
        <v>24532</v>
      </c>
    </row>
    <row r="6" spans="1:4" x14ac:dyDescent="0.25">
      <c r="A6" t="s">
        <v>446</v>
      </c>
      <c r="B6" t="s">
        <v>445</v>
      </c>
      <c r="C6">
        <v>4</v>
      </c>
      <c r="D6">
        <v>8977</v>
      </c>
    </row>
    <row r="7" spans="1:4" x14ac:dyDescent="0.25">
      <c r="A7" t="s">
        <v>552</v>
      </c>
      <c r="B7" t="s">
        <v>551</v>
      </c>
      <c r="C7">
        <v>8</v>
      </c>
      <c r="D7">
        <v>80551</v>
      </c>
    </row>
    <row r="8" spans="1:4" x14ac:dyDescent="0.25">
      <c r="A8" t="s">
        <v>484</v>
      </c>
      <c r="B8" t="s">
        <v>483</v>
      </c>
      <c r="C8">
        <v>4</v>
      </c>
      <c r="D8">
        <v>47076.67</v>
      </c>
    </row>
    <row r="9" spans="1:4" x14ac:dyDescent="0.25">
      <c r="A9" t="s">
        <v>644</v>
      </c>
      <c r="B9" t="s">
        <v>643</v>
      </c>
      <c r="C9">
        <v>10</v>
      </c>
      <c r="D9">
        <v>24901</v>
      </c>
    </row>
    <row r="10" spans="1:4" x14ac:dyDescent="0.25">
      <c r="A10" t="s">
        <v>192</v>
      </c>
      <c r="B10" t="s">
        <v>191</v>
      </c>
      <c r="C10">
        <v>6</v>
      </c>
      <c r="D10">
        <v>10475</v>
      </c>
    </row>
    <row r="11" spans="1:4" x14ac:dyDescent="0.25">
      <c r="A11" t="s">
        <v>428</v>
      </c>
      <c r="B11" t="s">
        <v>427</v>
      </c>
      <c r="C11">
        <v>3</v>
      </c>
      <c r="D11">
        <v>6954</v>
      </c>
    </row>
    <row r="12" spans="1:4" x14ac:dyDescent="0.25">
      <c r="A12" t="s">
        <v>672</v>
      </c>
      <c r="B12" t="s">
        <v>671</v>
      </c>
      <c r="C12">
        <v>18</v>
      </c>
      <c r="D12">
        <v>52783.11</v>
      </c>
    </row>
    <row r="13" spans="1:4" x14ac:dyDescent="0.25">
      <c r="A13" t="s">
        <v>392</v>
      </c>
      <c r="B13" t="s">
        <v>391</v>
      </c>
      <c r="C13">
        <v>1</v>
      </c>
      <c r="D13">
        <v>1094</v>
      </c>
    </row>
    <row r="14" spans="1:4" x14ac:dyDescent="0.25">
      <c r="A14" t="s">
        <v>218</v>
      </c>
      <c r="B14" t="s">
        <v>217</v>
      </c>
      <c r="C14">
        <v>2</v>
      </c>
      <c r="D14">
        <v>26613</v>
      </c>
    </row>
    <row r="15" spans="1:4" x14ac:dyDescent="0.25">
      <c r="A15" t="s">
        <v>598</v>
      </c>
      <c r="B15" t="s">
        <v>597</v>
      </c>
      <c r="C15">
        <v>15</v>
      </c>
      <c r="D15">
        <v>20869</v>
      </c>
    </row>
    <row r="16" spans="1:4" x14ac:dyDescent="0.25">
      <c r="A16" t="s">
        <v>264</v>
      </c>
      <c r="B16" t="s">
        <v>263</v>
      </c>
      <c r="C16">
        <v>3</v>
      </c>
      <c r="D16">
        <v>4715</v>
      </c>
    </row>
    <row r="17" spans="1:4" x14ac:dyDescent="0.25">
      <c r="A17" t="s">
        <v>572</v>
      </c>
      <c r="B17" t="s">
        <v>571</v>
      </c>
      <c r="C17">
        <v>12</v>
      </c>
      <c r="D17">
        <v>81535.16</v>
      </c>
    </row>
    <row r="18" spans="1:4" x14ac:dyDescent="0.25">
      <c r="A18" t="s">
        <v>234</v>
      </c>
      <c r="B18" t="s">
        <v>233</v>
      </c>
      <c r="C18">
        <v>3</v>
      </c>
      <c r="D18">
        <v>23131</v>
      </c>
    </row>
    <row r="19" spans="1:4" x14ac:dyDescent="0.25">
      <c r="A19" t="s">
        <v>298</v>
      </c>
      <c r="B19" t="s">
        <v>297</v>
      </c>
      <c r="C19">
        <v>6</v>
      </c>
      <c r="D19">
        <v>13635</v>
      </c>
    </row>
    <row r="20" spans="1:4" x14ac:dyDescent="0.25">
      <c r="A20" t="s">
        <v>96</v>
      </c>
      <c r="B20" t="s">
        <v>95</v>
      </c>
      <c r="C20">
        <v>1</v>
      </c>
      <c r="D20">
        <v>1548</v>
      </c>
    </row>
    <row r="21" spans="1:4" x14ac:dyDescent="0.25">
      <c r="A21" t="s">
        <v>370</v>
      </c>
      <c r="B21" t="s">
        <v>369</v>
      </c>
      <c r="C21">
        <v>3</v>
      </c>
      <c r="D21">
        <v>5704</v>
      </c>
    </row>
    <row r="22" spans="1:4" x14ac:dyDescent="0.25">
      <c r="A22" t="s">
        <v>59</v>
      </c>
      <c r="B22" t="s">
        <v>58</v>
      </c>
      <c r="C22">
        <v>1</v>
      </c>
      <c r="D22">
        <v>1837</v>
      </c>
    </row>
    <row r="23" spans="1:4" x14ac:dyDescent="0.25">
      <c r="A23" t="s">
        <v>556</v>
      </c>
      <c r="B23" t="s">
        <v>555</v>
      </c>
      <c r="C23">
        <v>8</v>
      </c>
      <c r="D23">
        <v>9883</v>
      </c>
    </row>
    <row r="24" spans="1:4" x14ac:dyDescent="0.25">
      <c r="A24" t="s">
        <v>566</v>
      </c>
      <c r="B24" t="s">
        <v>565</v>
      </c>
      <c r="C24">
        <v>3</v>
      </c>
      <c r="D24">
        <v>11874</v>
      </c>
    </row>
    <row r="25" spans="1:4" x14ac:dyDescent="0.25">
      <c r="A25" t="s">
        <v>276</v>
      </c>
      <c r="B25" t="s">
        <v>275</v>
      </c>
      <c r="C25">
        <v>4</v>
      </c>
      <c r="D25">
        <v>10775</v>
      </c>
    </row>
    <row r="26" spans="1:4" x14ac:dyDescent="0.25">
      <c r="A26" t="s">
        <v>306</v>
      </c>
      <c r="B26" t="s">
        <v>305</v>
      </c>
      <c r="C26">
        <v>1</v>
      </c>
      <c r="D26">
        <v>536</v>
      </c>
    </row>
    <row r="27" spans="1:4" x14ac:dyDescent="0.25">
      <c r="A27" t="s">
        <v>57</v>
      </c>
      <c r="B27" t="s">
        <v>56</v>
      </c>
      <c r="C27">
        <v>1</v>
      </c>
      <c r="D27">
        <v>506</v>
      </c>
    </row>
    <row r="28" spans="1:4" x14ac:dyDescent="0.25">
      <c r="A28" t="s">
        <v>564</v>
      </c>
      <c r="B28" t="s">
        <v>563</v>
      </c>
      <c r="C28">
        <v>19</v>
      </c>
      <c r="D28">
        <v>42480.99</v>
      </c>
    </row>
    <row r="29" spans="1:4" x14ac:dyDescent="0.25">
      <c r="A29" t="s">
        <v>496</v>
      </c>
      <c r="B29" t="s">
        <v>495</v>
      </c>
      <c r="C29">
        <v>5</v>
      </c>
      <c r="D29">
        <v>20003.010000000002</v>
      </c>
    </row>
    <row r="30" spans="1:4" x14ac:dyDescent="0.25">
      <c r="A30" t="s">
        <v>166</v>
      </c>
      <c r="B30" t="s">
        <v>165</v>
      </c>
      <c r="C30">
        <v>2</v>
      </c>
      <c r="D30">
        <v>1105</v>
      </c>
    </row>
    <row r="31" spans="1:4" x14ac:dyDescent="0.25">
      <c r="A31" t="s">
        <v>304</v>
      </c>
      <c r="B31" t="s">
        <v>303</v>
      </c>
      <c r="C31">
        <v>2</v>
      </c>
      <c r="D31">
        <v>1146</v>
      </c>
    </row>
    <row r="32" spans="1:4" x14ac:dyDescent="0.25">
      <c r="A32" t="s">
        <v>624</v>
      </c>
      <c r="B32" t="s">
        <v>623</v>
      </c>
      <c r="C32">
        <v>11</v>
      </c>
      <c r="D32">
        <v>19011</v>
      </c>
    </row>
    <row r="33" spans="1:4" x14ac:dyDescent="0.25">
      <c r="A33" t="s">
        <v>284</v>
      </c>
      <c r="B33" t="s">
        <v>283</v>
      </c>
      <c r="C33">
        <v>9</v>
      </c>
      <c r="D33">
        <v>19443</v>
      </c>
    </row>
    <row r="34" spans="1:4" x14ac:dyDescent="0.25">
      <c r="A34" t="s">
        <v>537</v>
      </c>
      <c r="B34" t="s">
        <v>536</v>
      </c>
      <c r="C34">
        <v>4</v>
      </c>
      <c r="D34">
        <v>5603</v>
      </c>
    </row>
    <row r="35" spans="1:4" x14ac:dyDescent="0.25">
      <c r="A35" t="s">
        <v>324</v>
      </c>
      <c r="B35" t="s">
        <v>323</v>
      </c>
      <c r="C35">
        <v>2</v>
      </c>
      <c r="D35">
        <v>8486</v>
      </c>
    </row>
    <row r="36" spans="1:4" x14ac:dyDescent="0.25">
      <c r="A36" t="s">
        <v>562</v>
      </c>
      <c r="B36" t="s">
        <v>561</v>
      </c>
      <c r="C36">
        <v>9</v>
      </c>
      <c r="D36">
        <v>16181</v>
      </c>
    </row>
    <row r="37" spans="1:4" x14ac:dyDescent="0.25">
      <c r="A37" t="s">
        <v>110</v>
      </c>
      <c r="B37" t="s">
        <v>109</v>
      </c>
      <c r="C37">
        <v>1</v>
      </c>
      <c r="D37">
        <v>730</v>
      </c>
    </row>
    <row r="38" spans="1:4" x14ac:dyDescent="0.25">
      <c r="A38" t="s">
        <v>230</v>
      </c>
      <c r="B38" t="s">
        <v>229</v>
      </c>
      <c r="C38">
        <v>2</v>
      </c>
      <c r="D38">
        <v>3244</v>
      </c>
    </row>
    <row r="39" spans="1:4" x14ac:dyDescent="0.25">
      <c r="A39" t="s">
        <v>468</v>
      </c>
      <c r="B39" t="s">
        <v>467</v>
      </c>
      <c r="C39">
        <v>6</v>
      </c>
      <c r="D39">
        <v>23729</v>
      </c>
    </row>
    <row r="40" spans="1:4" x14ac:dyDescent="0.25">
      <c r="A40" t="s">
        <v>212</v>
      </c>
      <c r="B40" t="s">
        <v>211</v>
      </c>
      <c r="C40">
        <v>2</v>
      </c>
      <c r="D40">
        <v>2349</v>
      </c>
    </row>
    <row r="41" spans="1:4" x14ac:dyDescent="0.25">
      <c r="A41" t="s">
        <v>274</v>
      </c>
      <c r="B41" t="s">
        <v>273</v>
      </c>
      <c r="C41">
        <v>1</v>
      </c>
      <c r="D41">
        <v>1180</v>
      </c>
    </row>
    <row r="42" spans="1:4" x14ac:dyDescent="0.25">
      <c r="A42" t="s">
        <v>226</v>
      </c>
      <c r="B42" t="s">
        <v>225</v>
      </c>
      <c r="C42">
        <v>2</v>
      </c>
      <c r="D42">
        <v>1720</v>
      </c>
    </row>
    <row r="43" spans="1:4" x14ac:dyDescent="0.25">
      <c r="A43" t="s">
        <v>252</v>
      </c>
      <c r="B43" t="s">
        <v>251</v>
      </c>
      <c r="C43">
        <v>1</v>
      </c>
      <c r="D43">
        <v>1739</v>
      </c>
    </row>
    <row r="44" spans="1:4" x14ac:dyDescent="0.25">
      <c r="A44" t="s">
        <v>260</v>
      </c>
      <c r="B44" t="s">
        <v>259</v>
      </c>
      <c r="C44">
        <v>2</v>
      </c>
      <c r="D44">
        <v>3619</v>
      </c>
    </row>
    <row r="45" spans="1:4" x14ac:dyDescent="0.25">
      <c r="A45" t="s">
        <v>228</v>
      </c>
      <c r="B45" t="s">
        <v>227</v>
      </c>
      <c r="C45">
        <v>3</v>
      </c>
      <c r="D45">
        <v>2388</v>
      </c>
    </row>
    <row r="46" spans="1:4" x14ac:dyDescent="0.25">
      <c r="A46" t="s">
        <v>478</v>
      </c>
      <c r="B46" t="s">
        <v>477</v>
      </c>
      <c r="C46">
        <v>9</v>
      </c>
      <c r="D46">
        <v>26761</v>
      </c>
    </row>
    <row r="47" spans="1:4" x14ac:dyDescent="0.25">
      <c r="A47" t="s">
        <v>41</v>
      </c>
      <c r="B47" t="s">
        <v>40</v>
      </c>
      <c r="C47">
        <v>2</v>
      </c>
      <c r="D47">
        <v>2389</v>
      </c>
    </row>
    <row r="48" spans="1:4" x14ac:dyDescent="0.25">
      <c r="A48" t="s">
        <v>112</v>
      </c>
      <c r="B48" t="s">
        <v>111</v>
      </c>
      <c r="C48">
        <v>2</v>
      </c>
      <c r="D48">
        <v>1287.01</v>
      </c>
    </row>
    <row r="49" spans="1:4" x14ac:dyDescent="0.25">
      <c r="A49" t="s">
        <v>460</v>
      </c>
      <c r="B49" t="s">
        <v>459</v>
      </c>
      <c r="C49">
        <v>8</v>
      </c>
      <c r="D49">
        <v>12031</v>
      </c>
    </row>
    <row r="50" spans="1:4" x14ac:dyDescent="0.25">
      <c r="A50" t="s">
        <v>232</v>
      </c>
      <c r="B50" t="s">
        <v>231</v>
      </c>
      <c r="C50">
        <v>3</v>
      </c>
      <c r="D50">
        <v>2514</v>
      </c>
    </row>
    <row r="51" spans="1:4" x14ac:dyDescent="0.25">
      <c r="A51" t="s">
        <v>618</v>
      </c>
      <c r="B51" t="s">
        <v>617</v>
      </c>
      <c r="C51">
        <v>26</v>
      </c>
      <c r="D51">
        <v>29280.2</v>
      </c>
    </row>
    <row r="52" spans="1:4" x14ac:dyDescent="0.25">
      <c r="A52" t="s">
        <v>388</v>
      </c>
      <c r="B52" t="s">
        <v>387</v>
      </c>
      <c r="C52">
        <v>13</v>
      </c>
      <c r="D52">
        <v>13566.99</v>
      </c>
    </row>
    <row r="53" spans="1:4" x14ac:dyDescent="0.25">
      <c r="A53" t="s">
        <v>426</v>
      </c>
      <c r="B53" t="s">
        <v>425</v>
      </c>
      <c r="C53">
        <v>12</v>
      </c>
      <c r="D53">
        <v>30454</v>
      </c>
    </row>
    <row r="54" spans="1:4" x14ac:dyDescent="0.25">
      <c r="A54" t="s">
        <v>69</v>
      </c>
      <c r="B54" t="s">
        <v>68</v>
      </c>
      <c r="C54">
        <v>1</v>
      </c>
      <c r="D54">
        <v>697</v>
      </c>
    </row>
    <row r="55" spans="1:4" x14ac:dyDescent="0.25">
      <c r="A55" t="s">
        <v>542</v>
      </c>
      <c r="B55" t="s">
        <v>21</v>
      </c>
      <c r="C55">
        <v>2</v>
      </c>
      <c r="D55">
        <v>41276</v>
      </c>
    </row>
    <row r="56" spans="1:4" x14ac:dyDescent="0.25">
      <c r="A56" t="s">
        <v>610</v>
      </c>
      <c r="B56" t="s">
        <v>609</v>
      </c>
      <c r="C56">
        <v>35</v>
      </c>
      <c r="D56">
        <v>71358.709999999992</v>
      </c>
    </row>
    <row r="57" spans="1:4" x14ac:dyDescent="0.25">
      <c r="A57" t="s">
        <v>302</v>
      </c>
      <c r="B57" t="s">
        <v>301</v>
      </c>
      <c r="C57">
        <v>1</v>
      </c>
      <c r="D57">
        <v>3087</v>
      </c>
    </row>
    <row r="58" spans="1:4" x14ac:dyDescent="0.25">
      <c r="A58" t="s">
        <v>89</v>
      </c>
      <c r="B58" t="s">
        <v>88</v>
      </c>
      <c r="C58">
        <v>1</v>
      </c>
      <c r="D58">
        <v>600</v>
      </c>
    </row>
    <row r="59" spans="1:4" x14ac:dyDescent="0.25">
      <c r="A59" t="s">
        <v>100</v>
      </c>
      <c r="B59" t="s">
        <v>99</v>
      </c>
      <c r="C59">
        <v>1</v>
      </c>
      <c r="D59">
        <v>904</v>
      </c>
    </row>
    <row r="60" spans="1:4" x14ac:dyDescent="0.25">
      <c r="A60" t="s">
        <v>608</v>
      </c>
      <c r="B60" t="s">
        <v>607</v>
      </c>
      <c r="C60">
        <v>5</v>
      </c>
      <c r="D60">
        <v>4377.07</v>
      </c>
    </row>
    <row r="61" spans="1:4" x14ac:dyDescent="0.25">
      <c r="A61" t="s">
        <v>130</v>
      </c>
      <c r="B61" t="s">
        <v>129</v>
      </c>
      <c r="C61">
        <v>4</v>
      </c>
      <c r="D61">
        <v>7583</v>
      </c>
    </row>
    <row r="62" spans="1:4" x14ac:dyDescent="0.25">
      <c r="A62" t="s">
        <v>424</v>
      </c>
      <c r="B62" t="s">
        <v>423</v>
      </c>
      <c r="C62">
        <v>7</v>
      </c>
      <c r="D62">
        <v>33496</v>
      </c>
    </row>
    <row r="63" spans="1:4" x14ac:dyDescent="0.25">
      <c r="A63" t="s">
        <v>242</v>
      </c>
      <c r="B63" t="s">
        <v>241</v>
      </c>
      <c r="C63">
        <v>3</v>
      </c>
      <c r="D63">
        <v>13578</v>
      </c>
    </row>
    <row r="64" spans="1:4" x14ac:dyDescent="0.25">
      <c r="A64" t="s">
        <v>466</v>
      </c>
      <c r="B64" t="s">
        <v>465</v>
      </c>
      <c r="C64">
        <v>9</v>
      </c>
      <c r="D64">
        <v>20016</v>
      </c>
    </row>
    <row r="65" spans="1:4" x14ac:dyDescent="0.25">
      <c r="A65" t="s">
        <v>210</v>
      </c>
      <c r="B65" t="s">
        <v>209</v>
      </c>
      <c r="C65">
        <v>2</v>
      </c>
      <c r="D65">
        <v>2837</v>
      </c>
    </row>
    <row r="66" spans="1:4" x14ac:dyDescent="0.25">
      <c r="A66" t="s">
        <v>432</v>
      </c>
      <c r="B66" t="s">
        <v>431</v>
      </c>
      <c r="C66">
        <v>10</v>
      </c>
      <c r="D66">
        <v>18598</v>
      </c>
    </row>
    <row r="67" spans="1:4" x14ac:dyDescent="0.25">
      <c r="A67" t="s">
        <v>300</v>
      </c>
      <c r="B67" t="s">
        <v>299</v>
      </c>
      <c r="C67">
        <v>5</v>
      </c>
      <c r="D67">
        <v>30478</v>
      </c>
    </row>
    <row r="68" spans="1:4" x14ac:dyDescent="0.25">
      <c r="A68" t="s">
        <v>374</v>
      </c>
      <c r="B68" t="s">
        <v>373</v>
      </c>
      <c r="C68">
        <v>10</v>
      </c>
      <c r="D68">
        <v>13905.01</v>
      </c>
    </row>
    <row r="69" spans="1:4" x14ac:dyDescent="0.25">
      <c r="A69" t="s">
        <v>114</v>
      </c>
      <c r="B69" t="s">
        <v>113</v>
      </c>
      <c r="C69">
        <v>1</v>
      </c>
      <c r="D69">
        <v>2920</v>
      </c>
    </row>
    <row r="70" spans="1:4" x14ac:dyDescent="0.25">
      <c r="A70" t="s">
        <v>668</v>
      </c>
      <c r="B70" t="s">
        <v>667</v>
      </c>
      <c r="C70">
        <v>8</v>
      </c>
      <c r="D70">
        <v>26904</v>
      </c>
    </row>
    <row r="71" spans="1:4" x14ac:dyDescent="0.25">
      <c r="A71" t="s">
        <v>352</v>
      </c>
      <c r="B71" t="s">
        <v>351</v>
      </c>
      <c r="C71">
        <v>4</v>
      </c>
      <c r="D71">
        <v>11546</v>
      </c>
    </row>
    <row r="72" spans="1:4" x14ac:dyDescent="0.25">
      <c r="A72" t="s">
        <v>510</v>
      </c>
      <c r="B72" t="s">
        <v>509</v>
      </c>
      <c r="C72">
        <v>10</v>
      </c>
      <c r="D72">
        <v>53133.01</v>
      </c>
    </row>
    <row r="73" spans="1:4" x14ac:dyDescent="0.25">
      <c r="A73" t="s">
        <v>336</v>
      </c>
      <c r="B73" t="s">
        <v>335</v>
      </c>
      <c r="C73">
        <v>5</v>
      </c>
      <c r="D73">
        <v>17920.010000000002</v>
      </c>
    </row>
    <row r="74" spans="1:4" x14ac:dyDescent="0.25">
      <c r="A74" t="s">
        <v>39</v>
      </c>
      <c r="B74" t="s">
        <v>38</v>
      </c>
      <c r="C74">
        <v>1</v>
      </c>
      <c r="D74">
        <v>3174</v>
      </c>
    </row>
    <row r="75" spans="1:4" x14ac:dyDescent="0.25">
      <c r="A75" t="s">
        <v>422</v>
      </c>
      <c r="B75" t="s">
        <v>421</v>
      </c>
      <c r="C75">
        <v>6</v>
      </c>
      <c r="D75">
        <v>4598.01</v>
      </c>
    </row>
    <row r="76" spans="1:4" x14ac:dyDescent="0.25">
      <c r="A76" t="s">
        <v>104</v>
      </c>
      <c r="B76" t="s">
        <v>103</v>
      </c>
      <c r="C76">
        <v>2</v>
      </c>
      <c r="D76">
        <v>1278</v>
      </c>
    </row>
    <row r="77" spans="1:4" x14ac:dyDescent="0.25">
      <c r="A77" t="s">
        <v>338</v>
      </c>
      <c r="B77" t="s">
        <v>337</v>
      </c>
      <c r="C77">
        <v>3</v>
      </c>
      <c r="D77">
        <v>4148.01</v>
      </c>
    </row>
    <row r="78" spans="1:4" x14ac:dyDescent="0.25">
      <c r="A78" t="s">
        <v>180</v>
      </c>
      <c r="B78" t="s">
        <v>179</v>
      </c>
      <c r="C78">
        <v>5</v>
      </c>
      <c r="D78">
        <v>2974.14</v>
      </c>
    </row>
    <row r="79" spans="1:4" x14ac:dyDescent="0.25">
      <c r="A79" t="s">
        <v>524</v>
      </c>
      <c r="B79" t="s">
        <v>523</v>
      </c>
      <c r="C79">
        <v>3</v>
      </c>
      <c r="D79">
        <v>7982.01</v>
      </c>
    </row>
    <row r="80" spans="1:4" x14ac:dyDescent="0.25">
      <c r="A80" t="s">
        <v>362</v>
      </c>
      <c r="B80" t="s">
        <v>361</v>
      </c>
      <c r="C80">
        <v>6</v>
      </c>
      <c r="D80">
        <v>33595</v>
      </c>
    </row>
    <row r="81" spans="1:4" x14ac:dyDescent="0.25">
      <c r="A81" t="s">
        <v>186</v>
      </c>
      <c r="B81" t="s">
        <v>185</v>
      </c>
      <c r="C81">
        <v>4</v>
      </c>
      <c r="D81">
        <v>22798.98</v>
      </c>
    </row>
    <row r="82" spans="1:4" x14ac:dyDescent="0.25">
      <c r="A82" t="s">
        <v>676</v>
      </c>
      <c r="B82" t="s">
        <v>675</v>
      </c>
      <c r="C82">
        <v>9</v>
      </c>
      <c r="D82">
        <v>19655</v>
      </c>
    </row>
    <row r="83" spans="1:4" x14ac:dyDescent="0.25">
      <c r="A83" t="s">
        <v>146</v>
      </c>
      <c r="B83" t="s">
        <v>145</v>
      </c>
      <c r="C83">
        <v>4</v>
      </c>
      <c r="D83">
        <v>16268</v>
      </c>
    </row>
    <row r="84" spans="1:4" x14ac:dyDescent="0.25">
      <c r="A84" t="s">
        <v>634</v>
      </c>
      <c r="B84" t="s">
        <v>633</v>
      </c>
      <c r="C84">
        <v>15</v>
      </c>
      <c r="D84">
        <v>44412.99</v>
      </c>
    </row>
    <row r="85" spans="1:4" x14ac:dyDescent="0.25">
      <c r="A85" t="s">
        <v>172</v>
      </c>
      <c r="B85" t="s">
        <v>171</v>
      </c>
      <c r="C85">
        <v>3</v>
      </c>
      <c r="D85">
        <v>3462</v>
      </c>
    </row>
    <row r="86" spans="1:4" x14ac:dyDescent="0.25">
      <c r="A86" t="s">
        <v>350</v>
      </c>
      <c r="B86" t="s">
        <v>349</v>
      </c>
      <c r="C86">
        <v>3</v>
      </c>
      <c r="D86">
        <v>27126</v>
      </c>
    </row>
    <row r="87" spans="1:4" x14ac:dyDescent="0.25">
      <c r="A87" t="s">
        <v>37</v>
      </c>
      <c r="B87" t="s">
        <v>36</v>
      </c>
      <c r="C87">
        <v>1</v>
      </c>
      <c r="D87">
        <v>5278</v>
      </c>
    </row>
    <row r="88" spans="1:4" x14ac:dyDescent="0.25">
      <c r="A88" t="s">
        <v>688</v>
      </c>
      <c r="B88" t="s">
        <v>687</v>
      </c>
      <c r="C88">
        <v>7</v>
      </c>
      <c r="D88">
        <v>12127</v>
      </c>
    </row>
    <row r="89" spans="1:4" x14ac:dyDescent="0.25">
      <c r="A89" t="s">
        <v>574</v>
      </c>
      <c r="B89" t="s">
        <v>573</v>
      </c>
      <c r="C89">
        <v>4</v>
      </c>
      <c r="D89">
        <v>11308</v>
      </c>
    </row>
    <row r="90" spans="1:4" x14ac:dyDescent="0.25">
      <c r="A90" t="s">
        <v>590</v>
      </c>
      <c r="B90" t="s">
        <v>589</v>
      </c>
      <c r="C90">
        <v>9</v>
      </c>
      <c r="D90">
        <v>30175.98</v>
      </c>
    </row>
    <row r="91" spans="1:4" x14ac:dyDescent="0.25">
      <c r="A91" t="s">
        <v>55</v>
      </c>
      <c r="B91" t="s">
        <v>54</v>
      </c>
      <c r="C91">
        <v>1</v>
      </c>
      <c r="D91">
        <v>3241</v>
      </c>
    </row>
    <row r="92" spans="1:4" x14ac:dyDescent="0.25">
      <c r="A92" t="s">
        <v>506</v>
      </c>
      <c r="B92" t="s">
        <v>505</v>
      </c>
      <c r="C92">
        <v>5</v>
      </c>
      <c r="D92">
        <v>13882</v>
      </c>
    </row>
    <row r="93" spans="1:4" x14ac:dyDescent="0.25">
      <c r="A93" t="s">
        <v>512</v>
      </c>
      <c r="B93" t="s">
        <v>511</v>
      </c>
      <c r="C93">
        <v>6</v>
      </c>
      <c r="D93">
        <v>11802</v>
      </c>
    </row>
    <row r="94" spans="1:4" x14ac:dyDescent="0.25">
      <c r="A94" t="s">
        <v>256</v>
      </c>
      <c r="B94" t="s">
        <v>255</v>
      </c>
      <c r="C94">
        <v>7</v>
      </c>
      <c r="D94">
        <v>18111</v>
      </c>
    </row>
    <row r="95" spans="1:4" x14ac:dyDescent="0.25">
      <c r="A95" t="s">
        <v>539</v>
      </c>
      <c r="B95" t="s">
        <v>538</v>
      </c>
      <c r="C95">
        <v>6</v>
      </c>
      <c r="D95">
        <v>9513</v>
      </c>
    </row>
    <row r="96" spans="1:4" x14ac:dyDescent="0.25">
      <c r="A96" t="s">
        <v>462</v>
      </c>
      <c r="B96" t="s">
        <v>461</v>
      </c>
      <c r="C96">
        <v>12</v>
      </c>
      <c r="D96">
        <v>53163</v>
      </c>
    </row>
    <row r="97" spans="1:4" x14ac:dyDescent="0.25">
      <c r="A97" t="s">
        <v>666</v>
      </c>
      <c r="B97" t="s">
        <v>665</v>
      </c>
      <c r="C97">
        <v>2</v>
      </c>
      <c r="D97">
        <v>1790</v>
      </c>
    </row>
    <row r="98" spans="1:4" x14ac:dyDescent="0.25">
      <c r="A98" t="s">
        <v>394</v>
      </c>
      <c r="B98" t="s">
        <v>393</v>
      </c>
      <c r="C98">
        <v>2</v>
      </c>
      <c r="D98">
        <v>4463</v>
      </c>
    </row>
    <row r="99" spans="1:4" x14ac:dyDescent="0.25">
      <c r="A99" t="s">
        <v>492</v>
      </c>
      <c r="B99" t="s">
        <v>491</v>
      </c>
      <c r="C99">
        <v>3</v>
      </c>
      <c r="D99">
        <v>21113</v>
      </c>
    </row>
    <row r="100" spans="1:4" x14ac:dyDescent="0.25">
      <c r="A100" t="s">
        <v>541</v>
      </c>
      <c r="B100" t="s">
        <v>540</v>
      </c>
      <c r="C100">
        <v>5</v>
      </c>
      <c r="D100">
        <v>12117</v>
      </c>
    </row>
    <row r="101" spans="1:4" x14ac:dyDescent="0.25">
      <c r="A101" t="s">
        <v>216</v>
      </c>
      <c r="B101" t="s">
        <v>215</v>
      </c>
      <c r="C101">
        <v>6</v>
      </c>
      <c r="D101">
        <v>7348</v>
      </c>
    </row>
    <row r="102" spans="1:4" x14ac:dyDescent="0.25">
      <c r="A102" t="s">
        <v>87</v>
      </c>
      <c r="B102" t="s">
        <v>86</v>
      </c>
      <c r="C102">
        <v>1</v>
      </c>
      <c r="D102">
        <v>671</v>
      </c>
    </row>
    <row r="103" spans="1:4" x14ac:dyDescent="0.25">
      <c r="A103" t="s">
        <v>622</v>
      </c>
      <c r="B103" t="s">
        <v>621</v>
      </c>
      <c r="C103">
        <v>14</v>
      </c>
      <c r="D103">
        <v>14510</v>
      </c>
    </row>
    <row r="104" spans="1:4" x14ac:dyDescent="0.25">
      <c r="A104" t="s">
        <v>476</v>
      </c>
      <c r="B104" t="s">
        <v>475</v>
      </c>
      <c r="C104">
        <v>4</v>
      </c>
      <c r="D104">
        <v>10265.99</v>
      </c>
    </row>
    <row r="105" spans="1:4" x14ac:dyDescent="0.25">
      <c r="A105" t="s">
        <v>354</v>
      </c>
      <c r="B105" t="s">
        <v>353</v>
      </c>
      <c r="C105">
        <v>3</v>
      </c>
      <c r="D105">
        <v>31183.15</v>
      </c>
    </row>
    <row r="106" spans="1:4" x14ac:dyDescent="0.25">
      <c r="A106" t="s">
        <v>206</v>
      </c>
      <c r="B106" t="s">
        <v>205</v>
      </c>
      <c r="C106">
        <v>3</v>
      </c>
      <c r="D106">
        <v>14521.01</v>
      </c>
    </row>
    <row r="107" spans="1:4" x14ac:dyDescent="0.25">
      <c r="A107" t="s">
        <v>53</v>
      </c>
      <c r="B107" t="s">
        <v>52</v>
      </c>
      <c r="C107">
        <v>1</v>
      </c>
      <c r="D107">
        <v>518</v>
      </c>
    </row>
    <row r="108" spans="1:4" x14ac:dyDescent="0.25">
      <c r="A108" t="s">
        <v>144</v>
      </c>
      <c r="B108" t="s">
        <v>143</v>
      </c>
      <c r="C108">
        <v>2</v>
      </c>
      <c r="D108">
        <v>1282</v>
      </c>
    </row>
    <row r="109" spans="1:4" x14ac:dyDescent="0.25">
      <c r="A109" t="s">
        <v>134</v>
      </c>
      <c r="B109" t="s">
        <v>133</v>
      </c>
      <c r="C109">
        <v>1</v>
      </c>
      <c r="D109">
        <v>76923</v>
      </c>
    </row>
    <row r="110" spans="1:4" x14ac:dyDescent="0.25">
      <c r="A110" t="s">
        <v>442</v>
      </c>
      <c r="B110" t="s">
        <v>441</v>
      </c>
      <c r="C110">
        <v>7</v>
      </c>
      <c r="D110">
        <v>10339</v>
      </c>
    </row>
    <row r="111" spans="1:4" x14ac:dyDescent="0.25">
      <c r="A111" t="s">
        <v>168</v>
      </c>
      <c r="B111" t="s">
        <v>167</v>
      </c>
      <c r="C111">
        <v>4</v>
      </c>
      <c r="D111">
        <v>4442</v>
      </c>
    </row>
    <row r="112" spans="1:4" x14ac:dyDescent="0.25">
      <c r="A112" t="s">
        <v>178</v>
      </c>
      <c r="B112" t="s">
        <v>177</v>
      </c>
      <c r="C112">
        <v>2</v>
      </c>
      <c r="D112">
        <v>6293</v>
      </c>
    </row>
    <row r="113" spans="1:4" x14ac:dyDescent="0.25">
      <c r="A113" t="s">
        <v>554</v>
      </c>
      <c r="B113" t="s">
        <v>553</v>
      </c>
      <c r="C113">
        <v>10</v>
      </c>
      <c r="D113">
        <v>24689.989999999998</v>
      </c>
    </row>
    <row r="114" spans="1:4" x14ac:dyDescent="0.25">
      <c r="A114" t="s">
        <v>328</v>
      </c>
      <c r="B114" t="s">
        <v>327</v>
      </c>
      <c r="C114">
        <v>2</v>
      </c>
      <c r="D114">
        <v>12710</v>
      </c>
    </row>
    <row r="115" spans="1:4" x14ac:dyDescent="0.25">
      <c r="A115" t="s">
        <v>240</v>
      </c>
      <c r="B115" t="s">
        <v>239</v>
      </c>
      <c r="C115">
        <v>3</v>
      </c>
      <c r="D115">
        <v>2178</v>
      </c>
    </row>
    <row r="116" spans="1:4" x14ac:dyDescent="0.25">
      <c r="A116" t="s">
        <v>430</v>
      </c>
      <c r="B116" t="s">
        <v>429</v>
      </c>
      <c r="C116">
        <v>11</v>
      </c>
      <c r="D116">
        <v>29849.200000000001</v>
      </c>
    </row>
    <row r="117" spans="1:4" x14ac:dyDescent="0.25">
      <c r="A117" t="s">
        <v>124</v>
      </c>
      <c r="B117" t="s">
        <v>123</v>
      </c>
      <c r="C117">
        <v>1</v>
      </c>
      <c r="D117">
        <v>3447</v>
      </c>
    </row>
    <row r="118" spans="1:4" x14ac:dyDescent="0.25">
      <c r="A118" t="s">
        <v>280</v>
      </c>
      <c r="B118" t="s">
        <v>279</v>
      </c>
      <c r="C118">
        <v>4</v>
      </c>
      <c r="D118">
        <v>10914</v>
      </c>
    </row>
    <row r="119" spans="1:4" x14ac:dyDescent="0.25">
      <c r="A119" t="s">
        <v>535</v>
      </c>
      <c r="B119" t="s">
        <v>534</v>
      </c>
      <c r="C119">
        <v>3</v>
      </c>
      <c r="D119">
        <v>68410</v>
      </c>
    </row>
    <row r="120" spans="1:4" x14ac:dyDescent="0.25">
      <c r="A120" t="s">
        <v>400</v>
      </c>
      <c r="B120" t="s">
        <v>399</v>
      </c>
      <c r="C120">
        <v>4</v>
      </c>
      <c r="D120">
        <v>4830</v>
      </c>
    </row>
    <row r="121" spans="1:4" x14ac:dyDescent="0.25">
      <c r="A121" t="s">
        <v>268</v>
      </c>
      <c r="B121" t="s">
        <v>267</v>
      </c>
      <c r="C121">
        <v>5</v>
      </c>
      <c r="D121">
        <v>12856</v>
      </c>
    </row>
    <row r="122" spans="1:4" x14ac:dyDescent="0.25">
      <c r="A122" t="s">
        <v>318</v>
      </c>
      <c r="B122" t="s">
        <v>317</v>
      </c>
      <c r="C122">
        <v>7</v>
      </c>
      <c r="D122">
        <v>24068</v>
      </c>
    </row>
    <row r="123" spans="1:4" x14ac:dyDescent="0.25">
      <c r="A123" t="s">
        <v>310</v>
      </c>
      <c r="B123" t="s">
        <v>309</v>
      </c>
      <c r="C123">
        <v>8</v>
      </c>
      <c r="D123">
        <v>18659.900000000001</v>
      </c>
    </row>
    <row r="124" spans="1:4" x14ac:dyDescent="0.25">
      <c r="A124" t="s">
        <v>580</v>
      </c>
      <c r="B124" t="s">
        <v>579</v>
      </c>
      <c r="C124">
        <v>15</v>
      </c>
      <c r="D124">
        <v>68773.679999999993</v>
      </c>
    </row>
    <row r="125" spans="1:4" x14ac:dyDescent="0.25">
      <c r="A125" t="s">
        <v>61</v>
      </c>
      <c r="B125" t="s">
        <v>60</v>
      </c>
      <c r="C125">
        <v>1</v>
      </c>
      <c r="D125">
        <v>154.19999999999999</v>
      </c>
    </row>
    <row r="126" spans="1:4" x14ac:dyDescent="0.25">
      <c r="A126" t="s">
        <v>418</v>
      </c>
      <c r="B126" t="s">
        <v>417</v>
      </c>
      <c r="C126">
        <v>11</v>
      </c>
      <c r="D126">
        <v>9795.0300000000007</v>
      </c>
    </row>
    <row r="127" spans="1:4" x14ac:dyDescent="0.25">
      <c r="A127" t="s">
        <v>398</v>
      </c>
      <c r="B127" t="s">
        <v>397</v>
      </c>
      <c r="C127">
        <v>1</v>
      </c>
      <c r="D127">
        <v>2007</v>
      </c>
    </row>
    <row r="128" spans="1:4" x14ac:dyDescent="0.25">
      <c r="A128" t="s">
        <v>138</v>
      </c>
      <c r="B128" t="s">
        <v>137</v>
      </c>
      <c r="C128">
        <v>2</v>
      </c>
      <c r="D128">
        <v>5457</v>
      </c>
    </row>
    <row r="129" spans="1:4" x14ac:dyDescent="0.25">
      <c r="A129" t="s">
        <v>272</v>
      </c>
      <c r="B129" t="s">
        <v>271</v>
      </c>
      <c r="C129">
        <v>1</v>
      </c>
      <c r="D129">
        <v>6816</v>
      </c>
    </row>
    <row r="130" spans="1:4" x14ac:dyDescent="0.25">
      <c r="A130" t="s">
        <v>408</v>
      </c>
      <c r="B130" t="s">
        <v>407</v>
      </c>
      <c r="C130">
        <v>6</v>
      </c>
      <c r="D130">
        <v>16292</v>
      </c>
    </row>
    <row r="131" spans="1:4" x14ac:dyDescent="0.25">
      <c r="A131" t="s">
        <v>33</v>
      </c>
      <c r="B131" t="s">
        <v>32</v>
      </c>
      <c r="C131">
        <v>2</v>
      </c>
      <c r="D131">
        <v>9074.91</v>
      </c>
    </row>
    <row r="132" spans="1:4" x14ac:dyDescent="0.25">
      <c r="A132" t="s">
        <v>470</v>
      </c>
      <c r="B132" t="s">
        <v>469</v>
      </c>
      <c r="C132">
        <v>3</v>
      </c>
      <c r="D132">
        <v>4270</v>
      </c>
    </row>
    <row r="133" spans="1:4" x14ac:dyDescent="0.25">
      <c r="A133" t="s">
        <v>286</v>
      </c>
      <c r="B133" t="s">
        <v>285</v>
      </c>
      <c r="C133">
        <v>1</v>
      </c>
      <c r="D133">
        <v>1748</v>
      </c>
    </row>
    <row r="134" spans="1:4" x14ac:dyDescent="0.25">
      <c r="A134" t="s">
        <v>630</v>
      </c>
      <c r="B134" t="s">
        <v>629</v>
      </c>
      <c r="C134">
        <v>11</v>
      </c>
      <c r="D134">
        <v>16219</v>
      </c>
    </row>
    <row r="135" spans="1:4" x14ac:dyDescent="0.25">
      <c r="A135" t="s">
        <v>81</v>
      </c>
      <c r="B135" t="s">
        <v>80</v>
      </c>
      <c r="C135">
        <v>1</v>
      </c>
      <c r="D135">
        <v>1227</v>
      </c>
    </row>
    <row r="136" spans="1:4" x14ac:dyDescent="0.25">
      <c r="A136" t="s">
        <v>614</v>
      </c>
      <c r="B136" t="s">
        <v>613</v>
      </c>
      <c r="C136">
        <v>15</v>
      </c>
      <c r="D136">
        <v>55568.92</v>
      </c>
    </row>
    <row r="137" spans="1:4" x14ac:dyDescent="0.25">
      <c r="A137" t="s">
        <v>358</v>
      </c>
      <c r="B137" t="s">
        <v>357</v>
      </c>
      <c r="C137">
        <v>6</v>
      </c>
      <c r="D137">
        <v>5848</v>
      </c>
    </row>
    <row r="138" spans="1:4" x14ac:dyDescent="0.25">
      <c r="A138" t="s">
        <v>316</v>
      </c>
      <c r="B138" t="s">
        <v>315</v>
      </c>
      <c r="C138">
        <v>1</v>
      </c>
      <c r="D138">
        <v>1526</v>
      </c>
    </row>
    <row r="139" spans="1:4" x14ac:dyDescent="0.25">
      <c r="A139" t="s">
        <v>45</v>
      </c>
      <c r="B139" t="s">
        <v>44</v>
      </c>
      <c r="C139">
        <v>1</v>
      </c>
      <c r="D139">
        <v>3432</v>
      </c>
    </row>
    <row r="140" spans="1:4" x14ac:dyDescent="0.25">
      <c r="A140" t="s">
        <v>582</v>
      </c>
      <c r="B140" t="s">
        <v>581</v>
      </c>
      <c r="C140">
        <v>2</v>
      </c>
      <c r="D140">
        <v>5211</v>
      </c>
    </row>
    <row r="141" spans="1:4" x14ac:dyDescent="0.25">
      <c r="A141" t="s">
        <v>560</v>
      </c>
      <c r="B141" t="s">
        <v>559</v>
      </c>
      <c r="C141">
        <v>9</v>
      </c>
      <c r="D141">
        <v>22659.1</v>
      </c>
    </row>
    <row r="142" spans="1:4" x14ac:dyDescent="0.25">
      <c r="A142" t="s">
        <v>670</v>
      </c>
      <c r="B142" t="s">
        <v>669</v>
      </c>
      <c r="C142">
        <v>9</v>
      </c>
      <c r="D142">
        <v>44589</v>
      </c>
    </row>
    <row r="143" spans="1:4" x14ac:dyDescent="0.25">
      <c r="A143" t="s">
        <v>83</v>
      </c>
      <c r="B143" t="s">
        <v>82</v>
      </c>
      <c r="C143">
        <v>1</v>
      </c>
      <c r="D143">
        <v>955.92</v>
      </c>
    </row>
    <row r="144" spans="1:4" x14ac:dyDescent="0.25">
      <c r="A144" t="s">
        <v>360</v>
      </c>
      <c r="B144" t="s">
        <v>359</v>
      </c>
      <c r="C144">
        <v>2</v>
      </c>
      <c r="D144">
        <v>4698</v>
      </c>
    </row>
    <row r="145" spans="1:4" x14ac:dyDescent="0.25">
      <c r="A145" t="s">
        <v>494</v>
      </c>
      <c r="B145" t="s">
        <v>493</v>
      </c>
      <c r="C145">
        <v>12</v>
      </c>
      <c r="D145">
        <v>23576</v>
      </c>
    </row>
    <row r="146" spans="1:4" x14ac:dyDescent="0.25">
      <c r="A146" t="s">
        <v>312</v>
      </c>
      <c r="B146" t="s">
        <v>311</v>
      </c>
      <c r="C146">
        <v>2</v>
      </c>
      <c r="D146">
        <v>2446</v>
      </c>
    </row>
    <row r="147" spans="1:4" x14ac:dyDescent="0.25">
      <c r="A147" t="s">
        <v>340</v>
      </c>
      <c r="B147" t="s">
        <v>339</v>
      </c>
      <c r="C147">
        <v>5</v>
      </c>
      <c r="D147">
        <v>16730</v>
      </c>
    </row>
    <row r="148" spans="1:4" x14ac:dyDescent="0.25">
      <c r="A148" t="s">
        <v>616</v>
      </c>
      <c r="B148" t="s">
        <v>615</v>
      </c>
      <c r="C148">
        <v>1</v>
      </c>
      <c r="D148">
        <v>4275</v>
      </c>
    </row>
    <row r="149" spans="1:4" x14ac:dyDescent="0.25">
      <c r="A149" t="s">
        <v>214</v>
      </c>
      <c r="B149" t="s">
        <v>213</v>
      </c>
      <c r="C149">
        <v>2</v>
      </c>
      <c r="D149">
        <v>21303</v>
      </c>
    </row>
    <row r="150" spans="1:4" x14ac:dyDescent="0.25">
      <c r="A150" t="s">
        <v>474</v>
      </c>
      <c r="B150" t="s">
        <v>473</v>
      </c>
      <c r="C150">
        <v>6</v>
      </c>
      <c r="D150">
        <v>26436</v>
      </c>
    </row>
    <row r="151" spans="1:4" x14ac:dyDescent="0.25">
      <c r="A151" t="s">
        <v>386</v>
      </c>
      <c r="B151" t="s">
        <v>385</v>
      </c>
      <c r="C151">
        <v>12</v>
      </c>
      <c r="D151">
        <v>31690</v>
      </c>
    </row>
    <row r="152" spans="1:4" x14ac:dyDescent="0.25">
      <c r="A152" t="s">
        <v>488</v>
      </c>
      <c r="B152" t="s">
        <v>487</v>
      </c>
      <c r="C152">
        <v>9</v>
      </c>
      <c r="D152">
        <v>72827</v>
      </c>
    </row>
    <row r="153" spans="1:4" x14ac:dyDescent="0.25">
      <c r="A153" t="s">
        <v>296</v>
      </c>
      <c r="B153" t="s">
        <v>295</v>
      </c>
      <c r="C153">
        <v>4</v>
      </c>
      <c r="D153">
        <v>2788</v>
      </c>
    </row>
    <row r="154" spans="1:4" x14ac:dyDescent="0.25">
      <c r="A154" t="s">
        <v>450</v>
      </c>
      <c r="B154" t="s">
        <v>449</v>
      </c>
      <c r="C154">
        <v>5</v>
      </c>
      <c r="D154">
        <v>10963</v>
      </c>
    </row>
    <row r="155" spans="1:4" x14ac:dyDescent="0.25">
      <c r="A155" t="s">
        <v>518</v>
      </c>
      <c r="B155" t="s">
        <v>517</v>
      </c>
      <c r="C155">
        <v>15</v>
      </c>
      <c r="D155">
        <v>26023</v>
      </c>
    </row>
    <row r="156" spans="1:4" x14ac:dyDescent="0.25">
      <c r="A156" t="s">
        <v>366</v>
      </c>
      <c r="B156" t="s">
        <v>365</v>
      </c>
      <c r="C156">
        <v>2</v>
      </c>
      <c r="D156">
        <v>6381</v>
      </c>
    </row>
    <row r="157" spans="1:4" x14ac:dyDescent="0.25">
      <c r="A157" t="s">
        <v>224</v>
      </c>
      <c r="B157" t="s">
        <v>223</v>
      </c>
      <c r="C157">
        <v>4</v>
      </c>
      <c r="D157">
        <v>34869</v>
      </c>
    </row>
    <row r="158" spans="1:4" x14ac:dyDescent="0.25">
      <c r="A158" t="s">
        <v>222</v>
      </c>
      <c r="B158" t="s">
        <v>221</v>
      </c>
      <c r="C158">
        <v>3</v>
      </c>
      <c r="D158">
        <v>6395.46</v>
      </c>
    </row>
    <row r="159" spans="1:4" x14ac:dyDescent="0.25">
      <c r="A159" t="s">
        <v>380</v>
      </c>
      <c r="B159" t="s">
        <v>379</v>
      </c>
      <c r="C159">
        <v>7</v>
      </c>
      <c r="D159">
        <v>16294</v>
      </c>
    </row>
    <row r="160" spans="1:4" x14ac:dyDescent="0.25">
      <c r="A160" t="s">
        <v>602</v>
      </c>
      <c r="B160" t="s">
        <v>601</v>
      </c>
      <c r="C160">
        <v>11</v>
      </c>
      <c r="D160">
        <v>48207</v>
      </c>
    </row>
    <row r="161" spans="1:4" x14ac:dyDescent="0.25">
      <c r="A161" t="s">
        <v>412</v>
      </c>
      <c r="B161" t="s">
        <v>411</v>
      </c>
      <c r="C161">
        <v>14</v>
      </c>
      <c r="D161">
        <v>42462</v>
      </c>
    </row>
    <row r="162" spans="1:4" x14ac:dyDescent="0.25">
      <c r="A162" t="s">
        <v>632</v>
      </c>
      <c r="B162" t="s">
        <v>631</v>
      </c>
      <c r="C162">
        <v>3</v>
      </c>
      <c r="D162">
        <v>11464</v>
      </c>
    </row>
    <row r="163" spans="1:4" x14ac:dyDescent="0.25">
      <c r="A163" t="s">
        <v>93</v>
      </c>
      <c r="B163" t="s">
        <v>92</v>
      </c>
      <c r="C163">
        <v>3</v>
      </c>
      <c r="D163">
        <v>3612</v>
      </c>
    </row>
    <row r="164" spans="1:4" x14ac:dyDescent="0.25">
      <c r="A164" t="s">
        <v>270</v>
      </c>
      <c r="B164" t="s">
        <v>269</v>
      </c>
      <c r="C164">
        <v>1</v>
      </c>
      <c r="D164">
        <v>4112</v>
      </c>
    </row>
    <row r="165" spans="1:4" x14ac:dyDescent="0.25">
      <c r="A165" t="s">
        <v>456</v>
      </c>
      <c r="B165" t="s">
        <v>455</v>
      </c>
      <c r="C165">
        <v>6</v>
      </c>
      <c r="D165">
        <v>22834</v>
      </c>
    </row>
    <row r="166" spans="1:4" x14ac:dyDescent="0.25">
      <c r="A166" t="s">
        <v>79</v>
      </c>
      <c r="B166" t="s">
        <v>78</v>
      </c>
      <c r="C166">
        <v>1</v>
      </c>
      <c r="D166">
        <v>1293</v>
      </c>
    </row>
    <row r="167" spans="1:4" x14ac:dyDescent="0.25">
      <c r="A167" t="s">
        <v>533</v>
      </c>
      <c r="B167" t="s">
        <v>532</v>
      </c>
      <c r="C167">
        <v>4</v>
      </c>
      <c r="D167">
        <v>20821</v>
      </c>
    </row>
    <row r="168" spans="1:4" x14ac:dyDescent="0.25">
      <c r="A168" t="s">
        <v>106</v>
      </c>
      <c r="B168" t="s">
        <v>105</v>
      </c>
      <c r="C168">
        <v>2</v>
      </c>
      <c r="D168">
        <v>1273</v>
      </c>
    </row>
    <row r="169" spans="1:4" x14ac:dyDescent="0.25">
      <c r="A169" t="s">
        <v>604</v>
      </c>
      <c r="B169" t="s">
        <v>603</v>
      </c>
      <c r="C169">
        <v>1</v>
      </c>
      <c r="D169">
        <v>2157</v>
      </c>
    </row>
    <row r="170" spans="1:4" x14ac:dyDescent="0.25">
      <c r="A170" t="s">
        <v>290</v>
      </c>
      <c r="B170" t="s">
        <v>289</v>
      </c>
      <c r="C170">
        <v>4</v>
      </c>
      <c r="D170">
        <v>5279</v>
      </c>
    </row>
    <row r="171" spans="1:4" x14ac:dyDescent="0.25">
      <c r="A171" t="s">
        <v>248</v>
      </c>
      <c r="B171" t="s">
        <v>247</v>
      </c>
      <c r="C171">
        <v>1</v>
      </c>
      <c r="D171">
        <v>7724</v>
      </c>
    </row>
    <row r="172" spans="1:4" x14ac:dyDescent="0.25">
      <c r="A172" t="s">
        <v>35</v>
      </c>
      <c r="B172" t="s">
        <v>34</v>
      </c>
      <c r="C172">
        <v>1</v>
      </c>
      <c r="D172">
        <v>1932</v>
      </c>
    </row>
    <row r="173" spans="1:4" x14ac:dyDescent="0.25">
      <c r="A173" t="s">
        <v>646</v>
      </c>
      <c r="B173" t="s">
        <v>645</v>
      </c>
      <c r="C173">
        <v>1</v>
      </c>
      <c r="D173">
        <v>493.77</v>
      </c>
    </row>
    <row r="174" spans="1:4" x14ac:dyDescent="0.25">
      <c r="A174" t="s">
        <v>164</v>
      </c>
      <c r="B174" t="s">
        <v>163</v>
      </c>
      <c r="C174">
        <v>3</v>
      </c>
      <c r="D174">
        <v>11114.76</v>
      </c>
    </row>
    <row r="175" spans="1:4" x14ac:dyDescent="0.25">
      <c r="A175" t="s">
        <v>282</v>
      </c>
      <c r="B175" t="s">
        <v>281</v>
      </c>
      <c r="C175">
        <v>6</v>
      </c>
      <c r="D175">
        <v>54728</v>
      </c>
    </row>
    <row r="176" spans="1:4" x14ac:dyDescent="0.25">
      <c r="A176" t="s">
        <v>626</v>
      </c>
      <c r="B176" t="s">
        <v>625</v>
      </c>
      <c r="C176">
        <v>25</v>
      </c>
      <c r="D176">
        <v>30204</v>
      </c>
    </row>
    <row r="177" spans="1:4" x14ac:dyDescent="0.25">
      <c r="A177" t="s">
        <v>648</v>
      </c>
      <c r="B177" t="s">
        <v>647</v>
      </c>
      <c r="C177">
        <v>8</v>
      </c>
      <c r="D177">
        <v>36602.82</v>
      </c>
    </row>
    <row r="178" spans="1:4" x14ac:dyDescent="0.25">
      <c r="A178" t="s">
        <v>194</v>
      </c>
      <c r="B178" t="s">
        <v>193</v>
      </c>
      <c r="C178">
        <v>3</v>
      </c>
      <c r="D178">
        <v>2040</v>
      </c>
    </row>
    <row r="179" spans="1:4" x14ac:dyDescent="0.25">
      <c r="A179" t="s">
        <v>584</v>
      </c>
      <c r="B179" t="s">
        <v>583</v>
      </c>
      <c r="C179">
        <v>1</v>
      </c>
      <c r="D179">
        <v>6964</v>
      </c>
    </row>
    <row r="180" spans="1:4" x14ac:dyDescent="0.25">
      <c r="A180" t="s">
        <v>182</v>
      </c>
      <c r="B180" t="s">
        <v>181</v>
      </c>
      <c r="C180">
        <v>3</v>
      </c>
      <c r="D180">
        <v>7153</v>
      </c>
    </row>
    <row r="181" spans="1:4" x14ac:dyDescent="0.25">
      <c r="A181" t="s">
        <v>292</v>
      </c>
      <c r="B181" t="s">
        <v>291</v>
      </c>
      <c r="C181">
        <v>11</v>
      </c>
      <c r="D181">
        <v>20923.010000000002</v>
      </c>
    </row>
    <row r="182" spans="1:4" x14ac:dyDescent="0.25">
      <c r="A182" t="s">
        <v>314</v>
      </c>
      <c r="B182" t="s">
        <v>313</v>
      </c>
      <c r="C182">
        <v>4</v>
      </c>
      <c r="D182">
        <v>12626</v>
      </c>
    </row>
    <row r="183" spans="1:4" x14ac:dyDescent="0.25">
      <c r="A183" t="s">
        <v>200</v>
      </c>
      <c r="B183" t="s">
        <v>199</v>
      </c>
      <c r="C183">
        <v>1</v>
      </c>
      <c r="D183">
        <v>1030</v>
      </c>
    </row>
    <row r="184" spans="1:4" x14ac:dyDescent="0.25">
      <c r="A184" t="s">
        <v>77</v>
      </c>
      <c r="B184" t="s">
        <v>76</v>
      </c>
      <c r="C184">
        <v>3</v>
      </c>
      <c r="D184">
        <v>8532</v>
      </c>
    </row>
    <row r="185" spans="1:4" x14ac:dyDescent="0.25">
      <c r="A185" t="s">
        <v>660</v>
      </c>
      <c r="B185" t="s">
        <v>659</v>
      </c>
      <c r="C185">
        <v>7</v>
      </c>
      <c r="D185">
        <v>12116</v>
      </c>
    </row>
    <row r="186" spans="1:4" x14ac:dyDescent="0.25">
      <c r="A186" t="s">
        <v>436</v>
      </c>
      <c r="B186" t="s">
        <v>435</v>
      </c>
      <c r="C186">
        <v>4</v>
      </c>
      <c r="D186">
        <v>2451</v>
      </c>
    </row>
    <row r="187" spans="1:4" x14ac:dyDescent="0.25">
      <c r="A187" t="s">
        <v>356</v>
      </c>
      <c r="B187" t="s">
        <v>355</v>
      </c>
      <c r="C187">
        <v>6</v>
      </c>
      <c r="D187">
        <v>11178</v>
      </c>
    </row>
    <row r="188" spans="1:4" x14ac:dyDescent="0.25">
      <c r="A188" t="s">
        <v>346</v>
      </c>
      <c r="B188" t="s">
        <v>345</v>
      </c>
      <c r="C188">
        <v>2</v>
      </c>
      <c r="D188">
        <v>1027</v>
      </c>
    </row>
    <row r="189" spans="1:4" x14ac:dyDescent="0.25">
      <c r="A189" t="s">
        <v>238</v>
      </c>
      <c r="B189" t="s">
        <v>237</v>
      </c>
      <c r="C189">
        <v>5</v>
      </c>
      <c r="D189">
        <v>15042.27</v>
      </c>
    </row>
    <row r="190" spans="1:4" x14ac:dyDescent="0.25">
      <c r="A190" t="s">
        <v>334</v>
      </c>
      <c r="B190" t="s">
        <v>333</v>
      </c>
      <c r="C190">
        <v>9</v>
      </c>
      <c r="D190">
        <v>39195</v>
      </c>
    </row>
    <row r="191" spans="1:4" x14ac:dyDescent="0.25">
      <c r="A191" t="s">
        <v>662</v>
      </c>
      <c r="B191" t="s">
        <v>661</v>
      </c>
      <c r="C191">
        <v>34</v>
      </c>
      <c r="D191">
        <v>124974.01999999999</v>
      </c>
    </row>
    <row r="192" spans="1:4" x14ac:dyDescent="0.25">
      <c r="A192" t="s">
        <v>404</v>
      </c>
      <c r="B192" t="s">
        <v>403</v>
      </c>
      <c r="C192">
        <v>11</v>
      </c>
      <c r="D192">
        <v>28794.23</v>
      </c>
    </row>
    <row r="193" spans="1:4" x14ac:dyDescent="0.25">
      <c r="A193" t="s">
        <v>67</v>
      </c>
      <c r="B193" t="s">
        <v>66</v>
      </c>
      <c r="C193">
        <v>1</v>
      </c>
      <c r="D193">
        <v>1560</v>
      </c>
    </row>
    <row r="194" spans="1:4" x14ac:dyDescent="0.25">
      <c r="A194" t="s">
        <v>654</v>
      </c>
      <c r="B194" t="s">
        <v>653</v>
      </c>
      <c r="C194">
        <v>16</v>
      </c>
      <c r="D194">
        <v>43987.619999999995</v>
      </c>
    </row>
    <row r="195" spans="1:4" x14ac:dyDescent="0.25">
      <c r="A195" t="s">
        <v>682</v>
      </c>
      <c r="B195" t="s">
        <v>681</v>
      </c>
      <c r="C195">
        <v>2</v>
      </c>
      <c r="D195">
        <v>3364</v>
      </c>
    </row>
    <row r="196" spans="1:4" x14ac:dyDescent="0.25">
      <c r="A196" t="s">
        <v>91</v>
      </c>
      <c r="B196" t="s">
        <v>90</v>
      </c>
      <c r="C196">
        <v>1</v>
      </c>
      <c r="D196">
        <v>2467</v>
      </c>
    </row>
    <row r="197" spans="1:4" x14ac:dyDescent="0.25">
      <c r="A197" t="s">
        <v>288</v>
      </c>
      <c r="B197" t="s">
        <v>287</v>
      </c>
      <c r="C197">
        <v>5</v>
      </c>
      <c r="D197">
        <v>9638</v>
      </c>
    </row>
    <row r="198" spans="1:4" x14ac:dyDescent="0.25">
      <c r="A198" t="s">
        <v>480</v>
      </c>
      <c r="B198" t="s">
        <v>479</v>
      </c>
      <c r="C198">
        <v>6</v>
      </c>
      <c r="D198">
        <v>7551</v>
      </c>
    </row>
    <row r="199" spans="1:4" x14ac:dyDescent="0.25">
      <c r="A199" t="s">
        <v>65</v>
      </c>
      <c r="B199" t="s">
        <v>64</v>
      </c>
      <c r="C199">
        <v>1</v>
      </c>
      <c r="D199">
        <v>7092</v>
      </c>
    </row>
    <row r="200" spans="1:4" x14ac:dyDescent="0.25">
      <c r="A200" t="s">
        <v>650</v>
      </c>
      <c r="B200" t="s">
        <v>649</v>
      </c>
      <c r="C200">
        <v>16</v>
      </c>
      <c r="D200">
        <v>46484.03</v>
      </c>
    </row>
    <row r="201" spans="1:4" x14ac:dyDescent="0.25">
      <c r="A201" t="s">
        <v>344</v>
      </c>
      <c r="B201" t="s">
        <v>343</v>
      </c>
      <c r="C201">
        <v>4</v>
      </c>
      <c r="D201">
        <v>9333</v>
      </c>
    </row>
    <row r="202" spans="1:4" x14ac:dyDescent="0.25">
      <c r="A202" t="s">
        <v>638</v>
      </c>
      <c r="B202" t="s">
        <v>637</v>
      </c>
      <c r="C202">
        <v>1</v>
      </c>
      <c r="D202">
        <v>1977</v>
      </c>
    </row>
    <row r="203" spans="1:4" x14ac:dyDescent="0.25">
      <c r="A203" t="s">
        <v>128</v>
      </c>
      <c r="B203" t="s">
        <v>127</v>
      </c>
      <c r="C203">
        <v>2</v>
      </c>
      <c r="D203">
        <v>2852</v>
      </c>
    </row>
    <row r="204" spans="1:4" x14ac:dyDescent="0.25">
      <c r="A204" t="s">
        <v>406</v>
      </c>
      <c r="B204" t="s">
        <v>405</v>
      </c>
      <c r="C204">
        <v>10</v>
      </c>
      <c r="D204">
        <v>8328</v>
      </c>
    </row>
    <row r="205" spans="1:4" x14ac:dyDescent="0.25">
      <c r="A205" t="s">
        <v>686</v>
      </c>
      <c r="B205" t="s">
        <v>685</v>
      </c>
      <c r="C205">
        <v>2</v>
      </c>
      <c r="D205">
        <v>5033</v>
      </c>
    </row>
    <row r="206" spans="1:4" x14ac:dyDescent="0.25">
      <c r="A206" t="s">
        <v>348</v>
      </c>
      <c r="B206" t="s">
        <v>347</v>
      </c>
      <c r="C206">
        <v>6</v>
      </c>
      <c r="D206">
        <v>38396</v>
      </c>
    </row>
    <row r="207" spans="1:4" x14ac:dyDescent="0.25">
      <c r="A207" t="s">
        <v>176</v>
      </c>
      <c r="B207" t="s">
        <v>175</v>
      </c>
      <c r="C207">
        <v>2</v>
      </c>
      <c r="D207">
        <v>1636</v>
      </c>
    </row>
    <row r="208" spans="1:4" x14ac:dyDescent="0.25">
      <c r="A208" t="s">
        <v>154</v>
      </c>
      <c r="B208" t="s">
        <v>153</v>
      </c>
      <c r="C208">
        <v>2</v>
      </c>
      <c r="D208">
        <v>7786</v>
      </c>
    </row>
    <row r="209" spans="1:4" x14ac:dyDescent="0.25">
      <c r="A209" t="s">
        <v>490</v>
      </c>
      <c r="B209" t="s">
        <v>489</v>
      </c>
      <c r="C209">
        <v>13</v>
      </c>
      <c r="D209">
        <v>41359</v>
      </c>
    </row>
    <row r="210" spans="1:4" x14ac:dyDescent="0.25">
      <c r="A210" t="s">
        <v>664</v>
      </c>
      <c r="B210" t="s">
        <v>663</v>
      </c>
      <c r="C210">
        <v>3</v>
      </c>
      <c r="D210">
        <v>4933</v>
      </c>
    </row>
    <row r="211" spans="1:4" x14ac:dyDescent="0.25">
      <c r="A211" t="s">
        <v>652</v>
      </c>
      <c r="B211" t="s">
        <v>651</v>
      </c>
      <c r="C211">
        <v>15</v>
      </c>
      <c r="D211">
        <v>348975</v>
      </c>
    </row>
    <row r="212" spans="1:4" x14ac:dyDescent="0.25">
      <c r="A212" t="s">
        <v>43</v>
      </c>
      <c r="B212" t="s">
        <v>42</v>
      </c>
      <c r="C212">
        <v>1</v>
      </c>
      <c r="D212">
        <v>1809</v>
      </c>
    </row>
    <row r="213" spans="1:4" x14ac:dyDescent="0.25">
      <c r="A213" t="s">
        <v>250</v>
      </c>
      <c r="B213" t="s">
        <v>249</v>
      </c>
      <c r="C213">
        <v>1</v>
      </c>
      <c r="D213">
        <v>761</v>
      </c>
    </row>
    <row r="214" spans="1:4" x14ac:dyDescent="0.25">
      <c r="A214" t="s">
        <v>368</v>
      </c>
      <c r="B214" t="s">
        <v>367</v>
      </c>
      <c r="C214">
        <v>4</v>
      </c>
      <c r="D214">
        <v>6547</v>
      </c>
    </row>
    <row r="215" spans="1:4" x14ac:dyDescent="0.25">
      <c r="A215" t="s">
        <v>162</v>
      </c>
      <c r="B215" t="s">
        <v>161</v>
      </c>
      <c r="C215">
        <v>1</v>
      </c>
      <c r="D215">
        <v>1330</v>
      </c>
    </row>
    <row r="216" spans="1:4" x14ac:dyDescent="0.25">
      <c r="A216" t="s">
        <v>486</v>
      </c>
      <c r="B216" t="s">
        <v>485</v>
      </c>
      <c r="C216">
        <v>8</v>
      </c>
      <c r="D216">
        <v>36410.67</v>
      </c>
    </row>
    <row r="217" spans="1:4" x14ac:dyDescent="0.25">
      <c r="A217" t="s">
        <v>550</v>
      </c>
      <c r="B217" t="s">
        <v>549</v>
      </c>
      <c r="C217">
        <v>1</v>
      </c>
      <c r="D217">
        <v>2429</v>
      </c>
    </row>
    <row r="218" spans="1:4" x14ac:dyDescent="0.25">
      <c r="A218" t="s">
        <v>126</v>
      </c>
      <c r="B218" t="s">
        <v>125</v>
      </c>
      <c r="C218">
        <v>3</v>
      </c>
      <c r="D218">
        <v>9770</v>
      </c>
    </row>
    <row r="219" spans="1:4" x14ac:dyDescent="0.25">
      <c r="A219" t="s">
        <v>308</v>
      </c>
      <c r="B219" t="s">
        <v>307</v>
      </c>
      <c r="C219">
        <v>3</v>
      </c>
      <c r="D219">
        <v>1826</v>
      </c>
    </row>
    <row r="220" spans="1:4" x14ac:dyDescent="0.25">
      <c r="A220" t="s">
        <v>372</v>
      </c>
      <c r="B220" t="s">
        <v>371</v>
      </c>
      <c r="C220">
        <v>1</v>
      </c>
      <c r="D220">
        <v>1884</v>
      </c>
    </row>
    <row r="221" spans="1:4" x14ac:dyDescent="0.25">
      <c r="A221" t="s">
        <v>148</v>
      </c>
      <c r="B221" t="s">
        <v>147</v>
      </c>
      <c r="C221">
        <v>4</v>
      </c>
      <c r="D221">
        <v>5494.01</v>
      </c>
    </row>
    <row r="222" spans="1:4" x14ac:dyDescent="0.25">
      <c r="A222" t="s">
        <v>636</v>
      </c>
      <c r="B222" t="s">
        <v>635</v>
      </c>
      <c r="C222">
        <v>6</v>
      </c>
      <c r="D222">
        <v>8241</v>
      </c>
    </row>
    <row r="223" spans="1:4" x14ac:dyDescent="0.25">
      <c r="A223" t="s">
        <v>94</v>
      </c>
      <c r="B223" t="s">
        <v>839</v>
      </c>
      <c r="C223">
        <v>1</v>
      </c>
      <c r="D223">
        <v>543</v>
      </c>
    </row>
    <row r="224" spans="1:4" x14ac:dyDescent="0.25">
      <c r="A224" t="s">
        <v>332</v>
      </c>
      <c r="B224" t="s">
        <v>331</v>
      </c>
      <c r="C224">
        <v>6</v>
      </c>
      <c r="D224">
        <v>20694</v>
      </c>
    </row>
    <row r="225" spans="1:4" x14ac:dyDescent="0.25">
      <c r="A225" t="s">
        <v>684</v>
      </c>
      <c r="B225" t="s">
        <v>683</v>
      </c>
      <c r="C225">
        <v>5</v>
      </c>
      <c r="D225">
        <v>20140</v>
      </c>
    </row>
    <row r="226" spans="1:4" x14ac:dyDescent="0.25">
      <c r="A226" t="s">
        <v>586</v>
      </c>
      <c r="B226" t="s">
        <v>585</v>
      </c>
      <c r="C226">
        <v>1</v>
      </c>
      <c r="D226">
        <v>3030</v>
      </c>
    </row>
    <row r="227" spans="1:4" x14ac:dyDescent="0.25">
      <c r="A227" t="s">
        <v>568</v>
      </c>
      <c r="B227" t="s">
        <v>567</v>
      </c>
      <c r="C227">
        <v>12</v>
      </c>
      <c r="D227">
        <v>12572.02</v>
      </c>
    </row>
    <row r="228" spans="1:4" x14ac:dyDescent="0.25">
      <c r="A228" t="s">
        <v>504</v>
      </c>
      <c r="B228" t="s">
        <v>503</v>
      </c>
      <c r="C228">
        <v>7</v>
      </c>
      <c r="D228">
        <v>10393</v>
      </c>
    </row>
    <row r="229" spans="1:4" x14ac:dyDescent="0.25">
      <c r="A229" t="s">
        <v>396</v>
      </c>
      <c r="B229" t="s">
        <v>395</v>
      </c>
      <c r="C229">
        <v>9</v>
      </c>
      <c r="D229">
        <v>16583.010000000002</v>
      </c>
    </row>
    <row r="230" spans="1:4" x14ac:dyDescent="0.25">
      <c r="A230" t="s">
        <v>75</v>
      </c>
      <c r="B230" t="s">
        <v>74</v>
      </c>
      <c r="C230">
        <v>3</v>
      </c>
      <c r="D230">
        <v>2259</v>
      </c>
    </row>
    <row r="231" spans="1:4" x14ac:dyDescent="0.25">
      <c r="A231" t="s">
        <v>530</v>
      </c>
      <c r="B231" t="s">
        <v>529</v>
      </c>
      <c r="C231">
        <v>5</v>
      </c>
      <c r="D231">
        <v>46343</v>
      </c>
    </row>
    <row r="232" spans="1:4" x14ac:dyDescent="0.25">
      <c r="A232" t="s">
        <v>502</v>
      </c>
      <c r="B232" t="s">
        <v>501</v>
      </c>
      <c r="C232">
        <v>6</v>
      </c>
      <c r="D232">
        <v>15040.18</v>
      </c>
    </row>
    <row r="233" spans="1:4" x14ac:dyDescent="0.25">
      <c r="A233" t="s">
        <v>63</v>
      </c>
      <c r="B233" t="s">
        <v>62</v>
      </c>
      <c r="C233">
        <v>1</v>
      </c>
      <c r="D233">
        <v>1250</v>
      </c>
    </row>
    <row r="234" spans="1:4" x14ac:dyDescent="0.25">
      <c r="A234" t="s">
        <v>500</v>
      </c>
      <c r="B234" t="s">
        <v>499</v>
      </c>
      <c r="C234">
        <v>9</v>
      </c>
      <c r="D234">
        <v>27290</v>
      </c>
    </row>
    <row r="235" spans="1:4" x14ac:dyDescent="0.25">
      <c r="A235" t="s">
        <v>454</v>
      </c>
      <c r="B235" t="s">
        <v>453</v>
      </c>
      <c r="C235">
        <v>4</v>
      </c>
      <c r="D235">
        <v>23287</v>
      </c>
    </row>
    <row r="236" spans="1:4" x14ac:dyDescent="0.25">
      <c r="A236" t="s">
        <v>142</v>
      </c>
      <c r="B236" t="s">
        <v>141</v>
      </c>
      <c r="C236">
        <v>5</v>
      </c>
      <c r="D236">
        <v>7547</v>
      </c>
    </row>
    <row r="237" spans="1:4" x14ac:dyDescent="0.25">
      <c r="A237" t="s">
        <v>390</v>
      </c>
      <c r="B237" t="s">
        <v>389</v>
      </c>
      <c r="C237">
        <v>1</v>
      </c>
      <c r="D237">
        <v>2030</v>
      </c>
    </row>
    <row r="238" spans="1:4" x14ac:dyDescent="0.25">
      <c r="A238" t="s">
        <v>414</v>
      </c>
      <c r="B238" t="s">
        <v>413</v>
      </c>
      <c r="C238">
        <v>8</v>
      </c>
      <c r="D238">
        <v>24360</v>
      </c>
    </row>
    <row r="239" spans="1:4" x14ac:dyDescent="0.25">
      <c r="A239" t="s">
        <v>246</v>
      </c>
      <c r="B239" t="s">
        <v>245</v>
      </c>
      <c r="C239">
        <v>3</v>
      </c>
      <c r="D239">
        <v>95011</v>
      </c>
    </row>
    <row r="240" spans="1:4" x14ac:dyDescent="0.25">
      <c r="A240" t="s">
        <v>840</v>
      </c>
      <c r="B240" t="s">
        <v>841</v>
      </c>
      <c r="C240">
        <v>1</v>
      </c>
      <c r="D240">
        <v>830</v>
      </c>
    </row>
    <row r="241" spans="1:4" x14ac:dyDescent="0.25">
      <c r="A241" t="s">
        <v>588</v>
      </c>
      <c r="B241" t="s">
        <v>587</v>
      </c>
      <c r="C241">
        <v>1</v>
      </c>
      <c r="D241">
        <v>1316.01</v>
      </c>
    </row>
    <row r="242" spans="1:4" x14ac:dyDescent="0.25">
      <c r="A242" t="s">
        <v>102</v>
      </c>
      <c r="B242" t="s">
        <v>101</v>
      </c>
      <c r="C242">
        <v>1</v>
      </c>
      <c r="D242">
        <v>4800</v>
      </c>
    </row>
    <row r="243" spans="1:4" x14ac:dyDescent="0.25">
      <c r="A243" t="s">
        <v>120</v>
      </c>
      <c r="B243" t="s">
        <v>119</v>
      </c>
      <c r="C243">
        <v>2</v>
      </c>
      <c r="D243">
        <v>4194</v>
      </c>
    </row>
    <row r="244" spans="1:4" x14ac:dyDescent="0.25">
      <c r="A244" t="s">
        <v>526</v>
      </c>
      <c r="B244" t="s">
        <v>525</v>
      </c>
      <c r="C244">
        <v>9</v>
      </c>
      <c r="D244">
        <v>77233.66</v>
      </c>
    </row>
    <row r="245" spans="1:4" x14ac:dyDescent="0.25">
      <c r="A245" t="s">
        <v>674</v>
      </c>
      <c r="B245" t="s">
        <v>673</v>
      </c>
      <c r="C245">
        <v>9</v>
      </c>
      <c r="D245">
        <v>8311</v>
      </c>
    </row>
    <row r="246" spans="1:4" x14ac:dyDescent="0.25">
      <c r="A246" t="s">
        <v>23</v>
      </c>
      <c r="B246" t="s">
        <v>22</v>
      </c>
      <c r="C246">
        <v>1</v>
      </c>
      <c r="D246">
        <v>524</v>
      </c>
    </row>
    <row r="247" spans="1:4" x14ac:dyDescent="0.25">
      <c r="A247" t="s">
        <v>612</v>
      </c>
      <c r="B247" t="s">
        <v>611</v>
      </c>
      <c r="C247">
        <v>13</v>
      </c>
      <c r="D247">
        <v>55428.45</v>
      </c>
    </row>
    <row r="248" spans="1:4" x14ac:dyDescent="0.25">
      <c r="A248" t="s">
        <v>188</v>
      </c>
      <c r="B248" t="s">
        <v>187</v>
      </c>
      <c r="C248">
        <v>1</v>
      </c>
      <c r="D248">
        <v>4670</v>
      </c>
    </row>
    <row r="249" spans="1:4" x14ac:dyDescent="0.25">
      <c r="A249" t="s">
        <v>576</v>
      </c>
      <c r="B249" t="s">
        <v>575</v>
      </c>
      <c r="C249">
        <v>3</v>
      </c>
      <c r="D249">
        <v>7022</v>
      </c>
    </row>
    <row r="250" spans="1:4" x14ac:dyDescent="0.25">
      <c r="A250" t="s">
        <v>29</v>
      </c>
      <c r="B250" t="s">
        <v>28</v>
      </c>
      <c r="C250">
        <v>1</v>
      </c>
      <c r="D250">
        <v>8740</v>
      </c>
    </row>
    <row r="251" spans="1:4" x14ac:dyDescent="0.25">
      <c r="A251" t="s">
        <v>170</v>
      </c>
      <c r="B251" t="s">
        <v>169</v>
      </c>
      <c r="C251">
        <v>2</v>
      </c>
      <c r="D251">
        <v>2663</v>
      </c>
    </row>
    <row r="252" spans="1:4" x14ac:dyDescent="0.25">
      <c r="A252" t="s">
        <v>578</v>
      </c>
      <c r="B252" t="s">
        <v>577</v>
      </c>
      <c r="C252">
        <v>1</v>
      </c>
      <c r="D252">
        <v>2525</v>
      </c>
    </row>
    <row r="253" spans="1:4" x14ac:dyDescent="0.25">
      <c r="A253" t="s">
        <v>244</v>
      </c>
      <c r="B253" t="s">
        <v>243</v>
      </c>
      <c r="C253">
        <v>2</v>
      </c>
      <c r="D253">
        <v>1128</v>
      </c>
    </row>
    <row r="254" spans="1:4" x14ac:dyDescent="0.25">
      <c r="A254" t="s">
        <v>152</v>
      </c>
      <c r="B254" t="s">
        <v>151</v>
      </c>
      <c r="C254">
        <v>1</v>
      </c>
      <c r="D254">
        <v>2011</v>
      </c>
    </row>
    <row r="255" spans="1:4" x14ac:dyDescent="0.25">
      <c r="A255" t="s">
        <v>198</v>
      </c>
      <c r="B255" t="s">
        <v>197</v>
      </c>
      <c r="C255">
        <v>5</v>
      </c>
      <c r="D255">
        <v>9988</v>
      </c>
    </row>
    <row r="256" spans="1:4" x14ac:dyDescent="0.25">
      <c r="A256" t="s">
        <v>558</v>
      </c>
      <c r="B256" t="s">
        <v>557</v>
      </c>
      <c r="C256">
        <v>10</v>
      </c>
      <c r="D256">
        <v>29802.989999999998</v>
      </c>
    </row>
    <row r="257" spans="1:4" x14ac:dyDescent="0.25">
      <c r="A257" t="s">
        <v>498</v>
      </c>
      <c r="B257" t="s">
        <v>497</v>
      </c>
      <c r="C257">
        <v>4</v>
      </c>
      <c r="D257">
        <v>53228</v>
      </c>
    </row>
    <row r="258" spans="1:4" x14ac:dyDescent="0.25">
      <c r="A258" t="s">
        <v>156</v>
      </c>
      <c r="B258" t="s">
        <v>155</v>
      </c>
      <c r="C258">
        <v>1</v>
      </c>
      <c r="D258">
        <v>948</v>
      </c>
    </row>
    <row r="259" spans="1:4" x14ac:dyDescent="0.25">
      <c r="A259" t="s">
        <v>98</v>
      </c>
      <c r="B259" t="s">
        <v>97</v>
      </c>
      <c r="C259">
        <v>1</v>
      </c>
      <c r="D259">
        <v>817</v>
      </c>
    </row>
    <row r="260" spans="1:4" x14ac:dyDescent="0.25">
      <c r="A260" t="s">
        <v>266</v>
      </c>
      <c r="B260" t="s">
        <v>265</v>
      </c>
      <c r="C260">
        <v>3</v>
      </c>
      <c r="D260">
        <v>2289</v>
      </c>
    </row>
    <row r="261" spans="1:4" x14ac:dyDescent="0.25">
      <c r="A261" t="s">
        <v>202</v>
      </c>
      <c r="B261" t="s">
        <v>201</v>
      </c>
      <c r="C261">
        <v>2</v>
      </c>
      <c r="D261">
        <v>4899</v>
      </c>
    </row>
    <row r="262" spans="1:4" x14ac:dyDescent="0.25">
      <c r="A262" t="s">
        <v>376</v>
      </c>
      <c r="B262" t="s">
        <v>375</v>
      </c>
      <c r="C262">
        <v>2</v>
      </c>
      <c r="D262">
        <v>5914</v>
      </c>
    </row>
    <row r="263" spans="1:4" x14ac:dyDescent="0.25">
      <c r="A263" t="s">
        <v>464</v>
      </c>
      <c r="B263" t="s">
        <v>463</v>
      </c>
      <c r="C263">
        <v>4</v>
      </c>
      <c r="D263">
        <v>4228</v>
      </c>
    </row>
    <row r="264" spans="1:4" x14ac:dyDescent="0.25">
      <c r="A264" t="s">
        <v>592</v>
      </c>
      <c r="B264" t="s">
        <v>591</v>
      </c>
      <c r="C264">
        <v>9</v>
      </c>
      <c r="D264">
        <v>17218</v>
      </c>
    </row>
    <row r="265" spans="1:4" x14ac:dyDescent="0.25">
      <c r="A265" t="s">
        <v>570</v>
      </c>
      <c r="B265" t="s">
        <v>569</v>
      </c>
      <c r="C265">
        <v>1</v>
      </c>
      <c r="D265">
        <v>793</v>
      </c>
    </row>
    <row r="266" spans="1:4" x14ac:dyDescent="0.25">
      <c r="A266" t="s">
        <v>402</v>
      </c>
      <c r="B266" t="s">
        <v>401</v>
      </c>
      <c r="C266">
        <v>2</v>
      </c>
      <c r="D266">
        <v>16056.43</v>
      </c>
    </row>
    <row r="267" spans="1:4" x14ac:dyDescent="0.25">
      <c r="A267" t="s">
        <v>118</v>
      </c>
      <c r="B267" t="s">
        <v>117</v>
      </c>
      <c r="C267">
        <v>2</v>
      </c>
      <c r="D267">
        <v>3878</v>
      </c>
    </row>
    <row r="268" spans="1:4" x14ac:dyDescent="0.25">
      <c r="A268" t="s">
        <v>236</v>
      </c>
      <c r="B268" t="s">
        <v>235</v>
      </c>
      <c r="C268">
        <v>1</v>
      </c>
      <c r="D268">
        <v>2589</v>
      </c>
    </row>
    <row r="269" spans="1:4" x14ac:dyDescent="0.25">
      <c r="A269" t="s">
        <v>47</v>
      </c>
      <c r="B269" t="s">
        <v>46</v>
      </c>
      <c r="C269">
        <v>1</v>
      </c>
      <c r="D269">
        <v>1809</v>
      </c>
    </row>
    <row r="270" spans="1:4" x14ac:dyDescent="0.25">
      <c r="A270" t="s">
        <v>258</v>
      </c>
      <c r="B270" t="s">
        <v>257</v>
      </c>
      <c r="C270">
        <v>4</v>
      </c>
      <c r="D270">
        <v>34426</v>
      </c>
    </row>
    <row r="271" spans="1:4" x14ac:dyDescent="0.25">
      <c r="A271" t="s">
        <v>678</v>
      </c>
      <c r="B271" t="s">
        <v>677</v>
      </c>
      <c r="C271">
        <v>1</v>
      </c>
      <c r="D271">
        <v>981.31</v>
      </c>
    </row>
    <row r="272" spans="1:4" x14ac:dyDescent="0.25">
      <c r="A272" t="s">
        <v>190</v>
      </c>
      <c r="B272" t="s">
        <v>189</v>
      </c>
      <c r="C272">
        <v>2</v>
      </c>
      <c r="D272">
        <v>8600</v>
      </c>
    </row>
    <row r="273" spans="1:4" x14ac:dyDescent="0.25">
      <c r="A273" t="s">
        <v>382</v>
      </c>
      <c r="B273" t="s">
        <v>381</v>
      </c>
      <c r="C273">
        <v>3</v>
      </c>
      <c r="D273">
        <v>8826</v>
      </c>
    </row>
    <row r="274" spans="1:4" x14ac:dyDescent="0.25">
      <c r="A274" t="s">
        <v>364</v>
      </c>
      <c r="B274" t="s">
        <v>363</v>
      </c>
      <c r="C274">
        <v>2</v>
      </c>
      <c r="D274">
        <v>1529</v>
      </c>
    </row>
    <row r="275" spans="1:4" x14ac:dyDescent="0.25">
      <c r="A275" t="s">
        <v>108</v>
      </c>
      <c r="B275" t="s">
        <v>107</v>
      </c>
      <c r="C275">
        <v>1</v>
      </c>
      <c r="D275">
        <v>2074</v>
      </c>
    </row>
    <row r="276" spans="1:4" x14ac:dyDescent="0.25">
      <c r="A276" t="s">
        <v>522</v>
      </c>
      <c r="B276" t="s">
        <v>521</v>
      </c>
      <c r="C276">
        <v>6</v>
      </c>
      <c r="D276">
        <v>15433</v>
      </c>
    </row>
    <row r="277" spans="1:4" x14ac:dyDescent="0.25">
      <c r="A277" t="s">
        <v>640</v>
      </c>
      <c r="B277" t="s">
        <v>639</v>
      </c>
      <c r="C277">
        <v>15</v>
      </c>
      <c r="D277">
        <v>80702</v>
      </c>
    </row>
    <row r="278" spans="1:4" x14ac:dyDescent="0.25">
      <c r="A278" t="s">
        <v>420</v>
      </c>
      <c r="B278" t="s">
        <v>419</v>
      </c>
      <c r="C278">
        <v>9</v>
      </c>
      <c r="D278">
        <v>216173.53</v>
      </c>
    </row>
    <row r="279" spans="1:4" x14ac:dyDescent="0.25">
      <c r="A279" t="s">
        <v>440</v>
      </c>
      <c r="B279" t="s">
        <v>439</v>
      </c>
      <c r="C279">
        <v>4</v>
      </c>
      <c r="D279">
        <v>5164</v>
      </c>
    </row>
    <row r="280" spans="1:4" x14ac:dyDescent="0.25">
      <c r="A280" t="s">
        <v>516</v>
      </c>
      <c r="B280" t="s">
        <v>515</v>
      </c>
      <c r="C280">
        <v>5</v>
      </c>
      <c r="D280">
        <v>6640</v>
      </c>
    </row>
    <row r="281" spans="1:4" x14ac:dyDescent="0.25">
      <c r="A281" t="s">
        <v>520</v>
      </c>
      <c r="B281" t="s">
        <v>519</v>
      </c>
      <c r="C281">
        <v>6</v>
      </c>
      <c r="D281">
        <v>12925</v>
      </c>
    </row>
    <row r="282" spans="1:4" x14ac:dyDescent="0.25">
      <c r="A282" t="s">
        <v>122</v>
      </c>
      <c r="B282" t="s">
        <v>121</v>
      </c>
      <c r="C282">
        <v>1</v>
      </c>
      <c r="D282">
        <v>2207</v>
      </c>
    </row>
    <row r="283" spans="1:4" x14ac:dyDescent="0.25">
      <c r="A283" t="s">
        <v>73</v>
      </c>
      <c r="B283" t="s">
        <v>72</v>
      </c>
      <c r="C283">
        <v>2</v>
      </c>
      <c r="D283">
        <v>1093.8800000000001</v>
      </c>
    </row>
    <row r="284" spans="1:4" x14ac:dyDescent="0.25">
      <c r="A284" t="s">
        <v>378</v>
      </c>
      <c r="B284" t="s">
        <v>377</v>
      </c>
      <c r="C284">
        <v>4</v>
      </c>
      <c r="D284">
        <v>25939</v>
      </c>
    </row>
    <row r="285" spans="1:4" x14ac:dyDescent="0.25">
      <c r="A285" t="s">
        <v>254</v>
      </c>
      <c r="B285" t="s">
        <v>253</v>
      </c>
      <c r="C285">
        <v>4</v>
      </c>
      <c r="D285">
        <v>25110</v>
      </c>
    </row>
    <row r="286" spans="1:4" x14ac:dyDescent="0.25">
      <c r="A286" t="s">
        <v>544</v>
      </c>
      <c r="B286" t="s">
        <v>543</v>
      </c>
      <c r="C286">
        <v>3</v>
      </c>
      <c r="D286">
        <v>12516</v>
      </c>
    </row>
    <row r="287" spans="1:4" x14ac:dyDescent="0.25">
      <c r="A287" t="s">
        <v>322</v>
      </c>
      <c r="B287" t="s">
        <v>321</v>
      </c>
      <c r="C287">
        <v>1</v>
      </c>
      <c r="D287">
        <v>4152</v>
      </c>
    </row>
    <row r="288" spans="1:4" x14ac:dyDescent="0.25">
      <c r="A288" t="s">
        <v>49</v>
      </c>
      <c r="B288" t="s">
        <v>48</v>
      </c>
      <c r="C288">
        <v>1</v>
      </c>
      <c r="D288">
        <v>1374</v>
      </c>
    </row>
    <row r="289" spans="1:4" x14ac:dyDescent="0.25">
      <c r="A289" t="s">
        <v>208</v>
      </c>
      <c r="B289" t="s">
        <v>207</v>
      </c>
      <c r="C289">
        <v>1</v>
      </c>
      <c r="D289">
        <v>1448</v>
      </c>
    </row>
    <row r="290" spans="1:4" x14ac:dyDescent="0.25">
      <c r="A290" t="s">
        <v>85</v>
      </c>
      <c r="B290" t="s">
        <v>84</v>
      </c>
      <c r="C290">
        <v>1</v>
      </c>
      <c r="D290">
        <v>2812</v>
      </c>
    </row>
    <row r="291" spans="1:4" x14ac:dyDescent="0.25">
      <c r="A291" t="s">
        <v>548</v>
      </c>
      <c r="B291" t="s">
        <v>547</v>
      </c>
      <c r="C291">
        <v>2</v>
      </c>
      <c r="D291">
        <v>3522</v>
      </c>
    </row>
    <row r="292" spans="1:4" x14ac:dyDescent="0.25">
      <c r="A292" t="s">
        <v>472</v>
      </c>
      <c r="B292" t="s">
        <v>471</v>
      </c>
      <c r="C292">
        <v>9</v>
      </c>
      <c r="D292">
        <v>29619.77</v>
      </c>
    </row>
    <row r="293" spans="1:4" x14ac:dyDescent="0.25">
      <c r="A293" t="s">
        <v>448</v>
      </c>
      <c r="B293" t="s">
        <v>447</v>
      </c>
      <c r="C293">
        <v>8</v>
      </c>
      <c r="D293">
        <v>85199</v>
      </c>
    </row>
    <row r="294" spans="1:4" x14ac:dyDescent="0.25">
      <c r="A294" t="s">
        <v>438</v>
      </c>
      <c r="B294" t="s">
        <v>437</v>
      </c>
      <c r="C294">
        <v>2</v>
      </c>
      <c r="D294">
        <v>5736.95</v>
      </c>
    </row>
    <row r="295" spans="1:4" x14ac:dyDescent="0.25">
      <c r="A295" t="s">
        <v>458</v>
      </c>
      <c r="B295" t="s">
        <v>457</v>
      </c>
      <c r="C295">
        <v>4</v>
      </c>
      <c r="D295">
        <v>18194</v>
      </c>
    </row>
    <row r="296" spans="1:4" x14ac:dyDescent="0.25">
      <c r="A296" t="s">
        <v>25</v>
      </c>
      <c r="B296" t="s">
        <v>24</v>
      </c>
      <c r="C296">
        <v>1</v>
      </c>
      <c r="D296">
        <v>587.54</v>
      </c>
    </row>
    <row r="297" spans="1:4" x14ac:dyDescent="0.25">
      <c r="A297" t="s">
        <v>546</v>
      </c>
      <c r="B297" t="s">
        <v>545</v>
      </c>
      <c r="C297">
        <v>6</v>
      </c>
      <c r="D297">
        <v>22117</v>
      </c>
    </row>
    <row r="298" spans="1:4" x14ac:dyDescent="0.25">
      <c r="A298" t="s">
        <v>71</v>
      </c>
      <c r="B298" t="s">
        <v>70</v>
      </c>
      <c r="C298">
        <v>1</v>
      </c>
      <c r="D298">
        <v>7050</v>
      </c>
    </row>
    <row r="299" spans="1:4" x14ac:dyDescent="0.25">
      <c r="A299" t="s">
        <v>384</v>
      </c>
      <c r="B299" t="s">
        <v>383</v>
      </c>
      <c r="C299">
        <v>8</v>
      </c>
      <c r="D299">
        <v>29445</v>
      </c>
    </row>
    <row r="300" spans="1:4" x14ac:dyDescent="0.25">
      <c r="A300" t="s">
        <v>27</v>
      </c>
      <c r="B300" t="s">
        <v>26</v>
      </c>
      <c r="C300">
        <v>1</v>
      </c>
      <c r="D300">
        <v>1040</v>
      </c>
    </row>
    <row r="301" spans="1:4" x14ac:dyDescent="0.25">
      <c r="A301" t="s">
        <v>444</v>
      </c>
      <c r="B301" t="s">
        <v>443</v>
      </c>
      <c r="C301">
        <v>2</v>
      </c>
      <c r="D301">
        <v>2500</v>
      </c>
    </row>
    <row r="302" spans="1:4" x14ac:dyDescent="0.25">
      <c r="A302" t="s">
        <v>262</v>
      </c>
      <c r="B302" t="s">
        <v>261</v>
      </c>
      <c r="C302">
        <v>1</v>
      </c>
      <c r="D302">
        <v>3000</v>
      </c>
    </row>
    <row r="303" spans="1:4" x14ac:dyDescent="0.25">
      <c r="A303" t="s">
        <v>174</v>
      </c>
      <c r="B303" t="s">
        <v>173</v>
      </c>
      <c r="C303">
        <v>2</v>
      </c>
      <c r="D303">
        <v>7122</v>
      </c>
    </row>
    <row r="304" spans="1:4" x14ac:dyDescent="0.25">
      <c r="A304" t="s">
        <v>680</v>
      </c>
      <c r="B304" t="s">
        <v>679</v>
      </c>
      <c r="C304">
        <v>3</v>
      </c>
      <c r="D304">
        <v>10534</v>
      </c>
    </row>
    <row r="305" spans="1:4" x14ac:dyDescent="0.25">
      <c r="A305" t="s">
        <v>620</v>
      </c>
      <c r="B305" t="s">
        <v>619</v>
      </c>
      <c r="C305">
        <v>6</v>
      </c>
      <c r="D305">
        <v>30128</v>
      </c>
    </row>
    <row r="306" spans="1:4" x14ac:dyDescent="0.25">
      <c r="A306" t="s">
        <v>294</v>
      </c>
      <c r="B306" t="s">
        <v>293</v>
      </c>
      <c r="C306">
        <v>4</v>
      </c>
      <c r="D306">
        <v>15322</v>
      </c>
    </row>
    <row r="307" spans="1:4" x14ac:dyDescent="0.25">
      <c r="A307" t="s">
        <v>326</v>
      </c>
      <c r="B307" t="s">
        <v>325</v>
      </c>
      <c r="C307">
        <v>4</v>
      </c>
      <c r="D307">
        <v>17000</v>
      </c>
    </row>
    <row r="308" spans="1:4" x14ac:dyDescent="0.25">
      <c r="A308" t="s">
        <v>278</v>
      </c>
      <c r="B308" t="s">
        <v>277</v>
      </c>
      <c r="C308">
        <v>1</v>
      </c>
      <c r="D308">
        <v>768</v>
      </c>
    </row>
    <row r="309" spans="1:4" x14ac:dyDescent="0.25">
      <c r="A309" t="s">
        <v>140</v>
      </c>
      <c r="B309" t="s">
        <v>139</v>
      </c>
      <c r="C309">
        <v>3</v>
      </c>
      <c r="D309">
        <v>5052</v>
      </c>
    </row>
    <row r="310" spans="1:4" x14ac:dyDescent="0.25">
      <c r="A310" t="s">
        <v>416</v>
      </c>
      <c r="B310" t="s">
        <v>415</v>
      </c>
      <c r="C310">
        <v>7</v>
      </c>
      <c r="D310">
        <v>13559</v>
      </c>
    </row>
    <row r="311" spans="1:4" x14ac:dyDescent="0.25">
      <c r="A311" t="s">
        <v>596</v>
      </c>
      <c r="B311" t="s">
        <v>595</v>
      </c>
      <c r="C311">
        <v>21</v>
      </c>
      <c r="D311">
        <v>78663</v>
      </c>
    </row>
    <row r="312" spans="1:4" x14ac:dyDescent="0.25">
      <c r="A312" t="s">
        <v>136</v>
      </c>
      <c r="B312" t="s">
        <v>135</v>
      </c>
      <c r="C312">
        <v>5</v>
      </c>
      <c r="D312">
        <v>16561</v>
      </c>
    </row>
    <row r="313" spans="1:4" x14ac:dyDescent="0.25">
      <c r="A313" t="s">
        <v>642</v>
      </c>
      <c r="B313" t="s">
        <v>641</v>
      </c>
      <c r="C313">
        <v>2</v>
      </c>
      <c r="D313">
        <v>4505</v>
      </c>
    </row>
    <row r="314" spans="1:4" x14ac:dyDescent="0.25">
      <c r="A314" t="s">
        <v>600</v>
      </c>
      <c r="B314" t="s">
        <v>599</v>
      </c>
      <c r="C314">
        <v>7</v>
      </c>
      <c r="D314">
        <v>86633</v>
      </c>
    </row>
    <row r="315" spans="1:4" x14ac:dyDescent="0.25">
      <c r="A315" t="s">
        <v>410</v>
      </c>
      <c r="B315" t="s">
        <v>409</v>
      </c>
      <c r="C315">
        <v>2</v>
      </c>
      <c r="D315">
        <v>1694</v>
      </c>
    </row>
    <row r="316" spans="1:4" x14ac:dyDescent="0.25">
      <c r="A316" t="s">
        <v>508</v>
      </c>
      <c r="B316" t="s">
        <v>507</v>
      </c>
      <c r="C316">
        <v>10</v>
      </c>
      <c r="D316">
        <v>69904</v>
      </c>
    </row>
    <row r="317" spans="1:4" x14ac:dyDescent="0.25">
      <c r="A317" t="s">
        <v>51</v>
      </c>
      <c r="B317" t="s">
        <v>50</v>
      </c>
      <c r="C317">
        <v>1</v>
      </c>
      <c r="D317">
        <v>17929.78</v>
      </c>
    </row>
    <row r="318" spans="1:4" x14ac:dyDescent="0.25">
      <c r="A318" t="s">
        <v>196</v>
      </c>
      <c r="B318" t="s">
        <v>195</v>
      </c>
      <c r="C318">
        <v>5</v>
      </c>
      <c r="D318">
        <v>24743</v>
      </c>
    </row>
    <row r="319" spans="1:4" x14ac:dyDescent="0.25">
      <c r="A319" t="s">
        <v>116</v>
      </c>
      <c r="B319" t="s">
        <v>115</v>
      </c>
      <c r="C319">
        <v>2</v>
      </c>
      <c r="D319">
        <v>1925</v>
      </c>
    </row>
    <row r="320" spans="1:4" x14ac:dyDescent="0.25">
      <c r="A320" t="s">
        <v>628</v>
      </c>
      <c r="B320" t="s">
        <v>627</v>
      </c>
      <c r="C320">
        <v>6</v>
      </c>
      <c r="D320">
        <v>18368.010000000002</v>
      </c>
    </row>
    <row r="321" spans="1:4" x14ac:dyDescent="0.25">
      <c r="A321" t="s">
        <v>528</v>
      </c>
      <c r="B321" t="s">
        <v>527</v>
      </c>
      <c r="C321">
        <v>7</v>
      </c>
      <c r="D321">
        <v>19747</v>
      </c>
    </row>
    <row r="322" spans="1:4" x14ac:dyDescent="0.25">
      <c r="A322" t="s">
        <v>160</v>
      </c>
      <c r="B322" t="s">
        <v>159</v>
      </c>
      <c r="C322">
        <v>1</v>
      </c>
      <c r="D322">
        <v>2011</v>
      </c>
    </row>
    <row r="323" spans="1:4" x14ac:dyDescent="0.25">
      <c r="A323" t="s">
        <v>158</v>
      </c>
      <c r="B323" t="s">
        <v>157</v>
      </c>
      <c r="C323">
        <v>3</v>
      </c>
      <c r="D323">
        <v>17279.2</v>
      </c>
    </row>
    <row r="324" spans="1:4" x14ac:dyDescent="0.25">
      <c r="A324" t="s">
        <v>330</v>
      </c>
      <c r="B324" t="s">
        <v>329</v>
      </c>
      <c r="C324">
        <v>5</v>
      </c>
      <c r="D324">
        <v>26895</v>
      </c>
    </row>
    <row r="325" spans="1:4" x14ac:dyDescent="0.25">
      <c r="A325" t="s">
        <v>482</v>
      </c>
      <c r="B325" t="s">
        <v>481</v>
      </c>
      <c r="C325">
        <v>10</v>
      </c>
      <c r="D325">
        <v>23643</v>
      </c>
    </row>
    <row r="326" spans="1:4" x14ac:dyDescent="0.25">
      <c r="A326" t="s">
        <v>514</v>
      </c>
      <c r="B326" t="s">
        <v>513</v>
      </c>
      <c r="C326">
        <v>3</v>
      </c>
      <c r="D326">
        <v>10562</v>
      </c>
    </row>
    <row r="327" spans="1:4" x14ac:dyDescent="0.25">
      <c r="A327" t="s">
        <v>658</v>
      </c>
      <c r="B327" t="s">
        <v>657</v>
      </c>
      <c r="C327">
        <v>10</v>
      </c>
      <c r="D327">
        <v>27984.14</v>
      </c>
    </row>
    <row r="328" spans="1:4" x14ac:dyDescent="0.25">
      <c r="A328" t="s">
        <v>184</v>
      </c>
      <c r="B328" t="s">
        <v>183</v>
      </c>
      <c r="C328">
        <v>1</v>
      </c>
      <c r="D328">
        <v>600</v>
      </c>
    </row>
    <row r="329" spans="1:4" x14ac:dyDescent="0.25">
      <c r="A329" t="s">
        <v>220</v>
      </c>
      <c r="B329" t="s">
        <v>219</v>
      </c>
      <c r="C329">
        <v>3</v>
      </c>
      <c r="D329">
        <v>9817</v>
      </c>
    </row>
    <row r="330" spans="1:4" x14ac:dyDescent="0.25">
      <c r="A330" t="s">
        <v>606</v>
      </c>
      <c r="B330" t="s">
        <v>605</v>
      </c>
      <c r="C330">
        <v>2</v>
      </c>
      <c r="D330">
        <v>1310</v>
      </c>
    </row>
    <row r="331" spans="1:4" x14ac:dyDescent="0.25">
      <c r="A331" t="s">
        <v>452</v>
      </c>
      <c r="B331" t="s">
        <v>451</v>
      </c>
      <c r="C331">
        <v>11</v>
      </c>
      <c r="D331">
        <v>41562.28</v>
      </c>
    </row>
    <row r="332" spans="1:4" x14ac:dyDescent="0.25">
      <c r="A332" t="s">
        <v>204</v>
      </c>
      <c r="B332" t="s">
        <v>203</v>
      </c>
      <c r="C332">
        <v>2</v>
      </c>
      <c r="D332">
        <v>13653</v>
      </c>
    </row>
    <row r="333" spans="1:4" x14ac:dyDescent="0.25">
      <c r="A333" t="s">
        <v>31</v>
      </c>
      <c r="B333" t="s">
        <v>30</v>
      </c>
      <c r="C333">
        <v>1</v>
      </c>
      <c r="D333">
        <v>3602.9</v>
      </c>
    </row>
    <row r="334" spans="1:4" x14ac:dyDescent="0.25">
      <c r="A334" t="s">
        <v>656</v>
      </c>
      <c r="B334" t="s">
        <v>655</v>
      </c>
      <c r="C334">
        <v>6</v>
      </c>
      <c r="D334">
        <v>11116</v>
      </c>
    </row>
    <row r="335" spans="1:4" x14ac:dyDescent="0.25">
      <c r="A335" t="s">
        <v>434</v>
      </c>
      <c r="B335" t="s">
        <v>433</v>
      </c>
      <c r="C335">
        <v>2</v>
      </c>
      <c r="D335">
        <v>16831</v>
      </c>
    </row>
    <row r="336" spans="1:4" x14ac:dyDescent="0.25">
      <c r="A336" t="s">
        <v>531</v>
      </c>
      <c r="B336" t="s">
        <v>319</v>
      </c>
      <c r="C336">
        <v>20</v>
      </c>
      <c r="D336">
        <v>80278.02</v>
      </c>
    </row>
    <row r="337" spans="1:4" x14ac:dyDescent="0.25">
      <c r="A337" t="s">
        <v>150</v>
      </c>
      <c r="B337" t="s">
        <v>149</v>
      </c>
      <c r="C337">
        <v>1</v>
      </c>
      <c r="D337">
        <v>1532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4103-5509-48F6-9DA6-7812F8713C69}">
  <sheetPr codeName="Planilha7"/>
  <dimension ref="A1:D60"/>
  <sheetViews>
    <sheetView workbookViewId="0">
      <selection sqref="A1:D60"/>
    </sheetView>
  </sheetViews>
  <sheetFormatPr defaultRowHeight="15" x14ac:dyDescent="0.25"/>
  <cols>
    <col min="1" max="1" width="15.140625" bestFit="1" customWidth="1"/>
    <col min="2" max="2" width="56.140625" bestFit="1" customWidth="1"/>
    <col min="3" max="3" width="12.28515625" bestFit="1" customWidth="1"/>
    <col min="4" max="4" width="12.7109375" style="5" bestFit="1" customWidth="1"/>
  </cols>
  <sheetData>
    <row r="1" spans="1:4" s="7" customFormat="1" ht="18.75" x14ac:dyDescent="0.3">
      <c r="A1" s="7" t="s">
        <v>4</v>
      </c>
      <c r="B1" s="7" t="s">
        <v>1</v>
      </c>
      <c r="C1" s="7" t="s">
        <v>837</v>
      </c>
      <c r="D1" s="8" t="s">
        <v>838</v>
      </c>
    </row>
    <row r="2" spans="1:4" x14ac:dyDescent="0.25">
      <c r="A2" t="s">
        <v>644</v>
      </c>
      <c r="B2" t="s">
        <v>643</v>
      </c>
      <c r="C2">
        <v>1</v>
      </c>
      <c r="D2" s="5">
        <v>1947</v>
      </c>
    </row>
    <row r="3" spans="1:4" x14ac:dyDescent="0.25">
      <c r="A3" t="s">
        <v>598</v>
      </c>
      <c r="B3" t="s">
        <v>597</v>
      </c>
      <c r="C3">
        <v>1</v>
      </c>
      <c r="D3" s="5">
        <v>1150</v>
      </c>
    </row>
    <row r="4" spans="1:4" x14ac:dyDescent="0.25">
      <c r="A4" t="s">
        <v>556</v>
      </c>
      <c r="B4" t="s">
        <v>555</v>
      </c>
      <c r="C4">
        <v>1</v>
      </c>
      <c r="D4" s="5">
        <v>533</v>
      </c>
    </row>
    <row r="5" spans="1:4" x14ac:dyDescent="0.25">
      <c r="A5" t="s">
        <v>624</v>
      </c>
      <c r="B5" t="s">
        <v>623</v>
      </c>
      <c r="C5">
        <v>1</v>
      </c>
      <c r="D5" s="5">
        <v>1854</v>
      </c>
    </row>
    <row r="6" spans="1:4" x14ac:dyDescent="0.25">
      <c r="A6" t="s">
        <v>284</v>
      </c>
      <c r="B6" t="s">
        <v>283</v>
      </c>
      <c r="C6">
        <v>1</v>
      </c>
      <c r="D6" s="5">
        <v>1156</v>
      </c>
    </row>
    <row r="7" spans="1:4" x14ac:dyDescent="0.25">
      <c r="A7" t="s">
        <v>618</v>
      </c>
      <c r="B7" t="s">
        <v>617</v>
      </c>
      <c r="C7">
        <v>2</v>
      </c>
      <c r="D7" s="5">
        <v>1691.19</v>
      </c>
    </row>
    <row r="8" spans="1:4" x14ac:dyDescent="0.25">
      <c r="A8" t="s">
        <v>610</v>
      </c>
      <c r="B8" t="s">
        <v>609</v>
      </c>
      <c r="C8">
        <v>2</v>
      </c>
      <c r="D8" s="5">
        <v>6040</v>
      </c>
    </row>
    <row r="9" spans="1:4" x14ac:dyDescent="0.25">
      <c r="A9" t="s">
        <v>608</v>
      </c>
      <c r="B9" t="s">
        <v>607</v>
      </c>
      <c r="C9">
        <v>1</v>
      </c>
      <c r="D9" s="5">
        <v>846</v>
      </c>
    </row>
    <row r="10" spans="1:4" x14ac:dyDescent="0.25">
      <c r="A10" t="s">
        <v>668</v>
      </c>
      <c r="B10" t="s">
        <v>667</v>
      </c>
      <c r="C10">
        <v>1</v>
      </c>
      <c r="D10" s="5">
        <v>3175</v>
      </c>
    </row>
    <row r="11" spans="1:4" x14ac:dyDescent="0.25">
      <c r="A11" t="s">
        <v>676</v>
      </c>
      <c r="B11" t="s">
        <v>675</v>
      </c>
      <c r="C11">
        <v>1</v>
      </c>
      <c r="D11" s="5">
        <v>1836</v>
      </c>
    </row>
    <row r="12" spans="1:4" x14ac:dyDescent="0.25">
      <c r="A12" t="s">
        <v>634</v>
      </c>
      <c r="B12" t="s">
        <v>633</v>
      </c>
      <c r="C12">
        <v>1</v>
      </c>
      <c r="D12" s="5">
        <v>2073</v>
      </c>
    </row>
    <row r="13" spans="1:4" x14ac:dyDescent="0.25">
      <c r="A13" t="s">
        <v>688</v>
      </c>
      <c r="B13" t="s">
        <v>687</v>
      </c>
      <c r="C13">
        <v>1</v>
      </c>
      <c r="D13" s="5">
        <v>1303</v>
      </c>
    </row>
    <row r="14" spans="1:4" x14ac:dyDescent="0.25">
      <c r="A14" t="s">
        <v>666</v>
      </c>
      <c r="B14" t="s">
        <v>665</v>
      </c>
      <c r="C14">
        <v>1</v>
      </c>
      <c r="D14" s="5">
        <v>1044</v>
      </c>
    </row>
    <row r="15" spans="1:4" x14ac:dyDescent="0.25">
      <c r="A15" t="s">
        <v>394</v>
      </c>
      <c r="B15" t="s">
        <v>393</v>
      </c>
      <c r="C15">
        <v>1</v>
      </c>
      <c r="D15" s="5">
        <v>1304</v>
      </c>
    </row>
    <row r="16" spans="1:4" x14ac:dyDescent="0.25">
      <c r="A16" t="s">
        <v>622</v>
      </c>
      <c r="B16" t="s">
        <v>621</v>
      </c>
      <c r="C16">
        <v>1</v>
      </c>
      <c r="D16" s="5">
        <v>1196</v>
      </c>
    </row>
    <row r="17" spans="1:4" x14ac:dyDescent="0.25">
      <c r="A17" t="s">
        <v>554</v>
      </c>
      <c r="B17" t="s">
        <v>553</v>
      </c>
      <c r="C17">
        <v>1</v>
      </c>
      <c r="D17" s="5">
        <v>624</v>
      </c>
    </row>
    <row r="18" spans="1:4" x14ac:dyDescent="0.25">
      <c r="A18" t="s">
        <v>672</v>
      </c>
      <c r="B18" t="s">
        <v>671</v>
      </c>
      <c r="C18">
        <v>1</v>
      </c>
      <c r="D18" s="5">
        <v>2935</v>
      </c>
    </row>
    <row r="19" spans="1:4" x14ac:dyDescent="0.25">
      <c r="A19" t="s">
        <v>580</v>
      </c>
      <c r="B19" t="s">
        <v>579</v>
      </c>
      <c r="C19">
        <v>1</v>
      </c>
      <c r="D19" s="5">
        <v>5439</v>
      </c>
    </row>
    <row r="20" spans="1:4" x14ac:dyDescent="0.25">
      <c r="A20" t="s">
        <v>418</v>
      </c>
      <c r="B20" t="s">
        <v>417</v>
      </c>
      <c r="C20">
        <v>1</v>
      </c>
      <c r="D20" s="5">
        <v>759.02</v>
      </c>
    </row>
    <row r="21" spans="1:4" x14ac:dyDescent="0.25">
      <c r="A21" t="s">
        <v>630</v>
      </c>
      <c r="B21" t="s">
        <v>629</v>
      </c>
      <c r="C21">
        <v>1</v>
      </c>
      <c r="D21" s="5">
        <v>922</v>
      </c>
    </row>
    <row r="22" spans="1:4" x14ac:dyDescent="0.25">
      <c r="A22" t="s">
        <v>614</v>
      </c>
      <c r="B22" t="s">
        <v>613</v>
      </c>
      <c r="C22">
        <v>1</v>
      </c>
      <c r="D22" s="5">
        <v>1527</v>
      </c>
    </row>
    <row r="23" spans="1:4" x14ac:dyDescent="0.25">
      <c r="A23" t="s">
        <v>670</v>
      </c>
      <c r="B23" t="s">
        <v>669</v>
      </c>
      <c r="C23">
        <v>1</v>
      </c>
      <c r="D23" s="5">
        <v>10760</v>
      </c>
    </row>
    <row r="24" spans="1:4" x14ac:dyDescent="0.25">
      <c r="A24" t="s">
        <v>616</v>
      </c>
      <c r="B24" t="s">
        <v>615</v>
      </c>
      <c r="C24">
        <v>1</v>
      </c>
      <c r="D24" s="5">
        <v>4275</v>
      </c>
    </row>
    <row r="25" spans="1:4" x14ac:dyDescent="0.25">
      <c r="A25" t="s">
        <v>602</v>
      </c>
      <c r="B25" t="s">
        <v>601</v>
      </c>
      <c r="C25">
        <v>1</v>
      </c>
      <c r="D25" s="5">
        <v>8510</v>
      </c>
    </row>
    <row r="26" spans="1:4" x14ac:dyDescent="0.25">
      <c r="A26" t="s">
        <v>412</v>
      </c>
      <c r="B26" t="s">
        <v>411</v>
      </c>
      <c r="C26">
        <v>1</v>
      </c>
      <c r="D26" s="5">
        <v>10222</v>
      </c>
    </row>
    <row r="27" spans="1:4" x14ac:dyDescent="0.25">
      <c r="A27" t="s">
        <v>632</v>
      </c>
      <c r="B27" t="s">
        <v>631</v>
      </c>
      <c r="C27">
        <v>1</v>
      </c>
      <c r="D27" s="5">
        <v>2855</v>
      </c>
    </row>
    <row r="28" spans="1:4" x14ac:dyDescent="0.25">
      <c r="A28" t="s">
        <v>604</v>
      </c>
      <c r="B28" t="s">
        <v>603</v>
      </c>
      <c r="C28">
        <v>1</v>
      </c>
      <c r="D28" s="5">
        <v>2157</v>
      </c>
    </row>
    <row r="29" spans="1:4" x14ac:dyDescent="0.25">
      <c r="A29" t="s">
        <v>646</v>
      </c>
      <c r="B29" t="s">
        <v>645</v>
      </c>
      <c r="C29">
        <v>1</v>
      </c>
      <c r="D29" s="5">
        <v>493.77</v>
      </c>
    </row>
    <row r="30" spans="1:4" x14ac:dyDescent="0.25">
      <c r="A30" t="s">
        <v>626</v>
      </c>
      <c r="B30" t="s">
        <v>625</v>
      </c>
      <c r="C30">
        <v>1</v>
      </c>
      <c r="D30" s="5">
        <v>694</v>
      </c>
    </row>
    <row r="31" spans="1:4" x14ac:dyDescent="0.25">
      <c r="A31" t="s">
        <v>648</v>
      </c>
      <c r="B31" t="s">
        <v>647</v>
      </c>
      <c r="C31">
        <v>1</v>
      </c>
      <c r="D31" s="5">
        <v>1740</v>
      </c>
    </row>
    <row r="32" spans="1:4" x14ac:dyDescent="0.25">
      <c r="A32" t="s">
        <v>660</v>
      </c>
      <c r="B32" t="s">
        <v>659</v>
      </c>
      <c r="C32">
        <v>1</v>
      </c>
      <c r="D32" s="5">
        <v>1273</v>
      </c>
    </row>
    <row r="33" spans="1:4" x14ac:dyDescent="0.25">
      <c r="A33" t="s">
        <v>334</v>
      </c>
      <c r="B33" t="s">
        <v>333</v>
      </c>
      <c r="C33">
        <v>1</v>
      </c>
      <c r="D33" s="5">
        <v>3507</v>
      </c>
    </row>
    <row r="34" spans="1:4" x14ac:dyDescent="0.25">
      <c r="A34" t="s">
        <v>662</v>
      </c>
      <c r="B34" t="s">
        <v>661</v>
      </c>
      <c r="C34">
        <v>1</v>
      </c>
      <c r="D34" s="5">
        <v>5830</v>
      </c>
    </row>
    <row r="35" spans="1:4" x14ac:dyDescent="0.25">
      <c r="A35" t="s">
        <v>404</v>
      </c>
      <c r="B35" t="s">
        <v>403</v>
      </c>
      <c r="C35">
        <v>1</v>
      </c>
      <c r="D35" s="5">
        <v>1981.23</v>
      </c>
    </row>
    <row r="36" spans="1:4" x14ac:dyDescent="0.25">
      <c r="A36" t="s">
        <v>654</v>
      </c>
      <c r="B36" t="s">
        <v>653</v>
      </c>
      <c r="C36">
        <v>2</v>
      </c>
      <c r="D36" s="5">
        <v>3738</v>
      </c>
    </row>
    <row r="37" spans="1:4" x14ac:dyDescent="0.25">
      <c r="A37" t="s">
        <v>682</v>
      </c>
      <c r="B37" t="s">
        <v>681</v>
      </c>
      <c r="C37">
        <v>1</v>
      </c>
      <c r="D37" s="5">
        <v>2268</v>
      </c>
    </row>
    <row r="38" spans="1:4" x14ac:dyDescent="0.25">
      <c r="A38" t="s">
        <v>650</v>
      </c>
      <c r="B38" t="s">
        <v>649</v>
      </c>
      <c r="C38">
        <v>1</v>
      </c>
      <c r="D38" s="5">
        <v>1790</v>
      </c>
    </row>
    <row r="39" spans="1:4" x14ac:dyDescent="0.25">
      <c r="A39" t="s">
        <v>638</v>
      </c>
      <c r="B39" t="s">
        <v>637</v>
      </c>
      <c r="C39">
        <v>1</v>
      </c>
      <c r="D39" s="5">
        <v>1977</v>
      </c>
    </row>
    <row r="40" spans="1:4" x14ac:dyDescent="0.25">
      <c r="A40" t="s">
        <v>686</v>
      </c>
      <c r="B40" t="s">
        <v>685</v>
      </c>
      <c r="C40">
        <v>1</v>
      </c>
      <c r="D40" s="5">
        <v>4086</v>
      </c>
    </row>
    <row r="41" spans="1:4" x14ac:dyDescent="0.25">
      <c r="A41" t="s">
        <v>664</v>
      </c>
      <c r="B41" t="s">
        <v>663</v>
      </c>
      <c r="C41">
        <v>1</v>
      </c>
      <c r="D41" s="5">
        <v>3663</v>
      </c>
    </row>
    <row r="42" spans="1:4" x14ac:dyDescent="0.25">
      <c r="A42" t="s">
        <v>652</v>
      </c>
      <c r="B42" t="s">
        <v>651</v>
      </c>
      <c r="C42">
        <v>1</v>
      </c>
      <c r="D42" s="5">
        <v>36662</v>
      </c>
    </row>
    <row r="43" spans="1:4" x14ac:dyDescent="0.25">
      <c r="A43" t="s">
        <v>636</v>
      </c>
      <c r="B43" t="s">
        <v>635</v>
      </c>
      <c r="C43">
        <v>1</v>
      </c>
      <c r="D43" s="5">
        <v>1812</v>
      </c>
    </row>
    <row r="44" spans="1:4" x14ac:dyDescent="0.25">
      <c r="A44" t="s">
        <v>684</v>
      </c>
      <c r="B44" t="s">
        <v>683</v>
      </c>
      <c r="C44">
        <v>1</v>
      </c>
      <c r="D44" s="5">
        <v>2408</v>
      </c>
    </row>
    <row r="45" spans="1:4" x14ac:dyDescent="0.25">
      <c r="A45" t="s">
        <v>674</v>
      </c>
      <c r="B45" t="s">
        <v>673</v>
      </c>
      <c r="C45">
        <v>1</v>
      </c>
      <c r="D45" s="5">
        <v>1328</v>
      </c>
    </row>
    <row r="46" spans="1:4" x14ac:dyDescent="0.25">
      <c r="A46" t="s">
        <v>612</v>
      </c>
      <c r="B46" t="s">
        <v>611</v>
      </c>
      <c r="C46">
        <v>1</v>
      </c>
      <c r="D46" s="5">
        <v>1572</v>
      </c>
    </row>
    <row r="47" spans="1:4" x14ac:dyDescent="0.25">
      <c r="A47" t="s">
        <v>678</v>
      </c>
      <c r="B47" t="s">
        <v>677</v>
      </c>
      <c r="C47">
        <v>1</v>
      </c>
      <c r="D47" s="5">
        <v>981.31</v>
      </c>
    </row>
    <row r="48" spans="1:4" x14ac:dyDescent="0.25">
      <c r="A48" t="s">
        <v>382</v>
      </c>
      <c r="B48" t="s">
        <v>381</v>
      </c>
      <c r="C48">
        <v>1</v>
      </c>
      <c r="D48" s="5">
        <v>1839</v>
      </c>
    </row>
    <row r="49" spans="1:4" x14ac:dyDescent="0.25">
      <c r="A49" t="s">
        <v>640</v>
      </c>
      <c r="B49" t="s">
        <v>639</v>
      </c>
      <c r="C49">
        <v>1</v>
      </c>
      <c r="D49" s="5">
        <v>3032</v>
      </c>
    </row>
    <row r="50" spans="1:4" x14ac:dyDescent="0.25">
      <c r="A50" t="s">
        <v>680</v>
      </c>
      <c r="B50" t="s">
        <v>679</v>
      </c>
      <c r="C50">
        <v>1</v>
      </c>
      <c r="D50" s="5">
        <v>7402</v>
      </c>
    </row>
    <row r="51" spans="1:4" x14ac:dyDescent="0.25">
      <c r="A51" t="s">
        <v>620</v>
      </c>
      <c r="B51" t="s">
        <v>619</v>
      </c>
      <c r="C51">
        <v>1</v>
      </c>
      <c r="D51" s="5">
        <v>4541</v>
      </c>
    </row>
    <row r="52" spans="1:4" x14ac:dyDescent="0.25">
      <c r="A52" t="s">
        <v>326</v>
      </c>
      <c r="B52" t="s">
        <v>325</v>
      </c>
      <c r="C52">
        <v>1</v>
      </c>
      <c r="D52" s="5">
        <v>4744</v>
      </c>
    </row>
    <row r="53" spans="1:4" x14ac:dyDescent="0.25">
      <c r="A53" t="s">
        <v>642</v>
      </c>
      <c r="B53" t="s">
        <v>641</v>
      </c>
      <c r="C53">
        <v>1</v>
      </c>
      <c r="D53" s="5">
        <v>2475</v>
      </c>
    </row>
    <row r="54" spans="1:4" x14ac:dyDescent="0.25">
      <c r="A54" t="s">
        <v>600</v>
      </c>
      <c r="B54" t="s">
        <v>599</v>
      </c>
      <c r="C54">
        <v>1</v>
      </c>
      <c r="D54" s="5">
        <v>15987</v>
      </c>
    </row>
    <row r="55" spans="1:4" x14ac:dyDescent="0.25">
      <c r="A55" t="s">
        <v>628</v>
      </c>
      <c r="B55" t="s">
        <v>627</v>
      </c>
      <c r="C55">
        <v>2</v>
      </c>
      <c r="D55" s="5">
        <v>2669.01</v>
      </c>
    </row>
    <row r="56" spans="1:4" x14ac:dyDescent="0.25">
      <c r="A56" t="s">
        <v>658</v>
      </c>
      <c r="B56" t="s">
        <v>657</v>
      </c>
      <c r="C56">
        <v>1</v>
      </c>
      <c r="D56" s="5">
        <v>2078.14</v>
      </c>
    </row>
    <row r="57" spans="1:4" x14ac:dyDescent="0.25">
      <c r="A57" t="s">
        <v>606</v>
      </c>
      <c r="B57" t="s">
        <v>605</v>
      </c>
      <c r="C57">
        <v>1</v>
      </c>
      <c r="D57" s="5">
        <v>665</v>
      </c>
    </row>
    <row r="58" spans="1:4" x14ac:dyDescent="0.25">
      <c r="A58" t="s">
        <v>452</v>
      </c>
      <c r="B58" t="s">
        <v>451</v>
      </c>
      <c r="C58">
        <v>1</v>
      </c>
      <c r="D58" s="5">
        <v>4638.28</v>
      </c>
    </row>
    <row r="59" spans="1:4" x14ac:dyDescent="0.25">
      <c r="A59" t="s">
        <v>656</v>
      </c>
      <c r="B59" t="s">
        <v>655</v>
      </c>
      <c r="C59">
        <v>1</v>
      </c>
      <c r="D59" s="5">
        <v>1026</v>
      </c>
    </row>
    <row r="60" spans="1:4" x14ac:dyDescent="0.25">
      <c r="A60" t="s">
        <v>695</v>
      </c>
      <c r="D60" s="5">
        <f>SUBTOTAL(109,vendas_ph[soma])</f>
        <v>207033.95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D2189-1DF0-4C85-B096-5E73BBC5664D}">
  <sheetPr codeName="Planilha4"/>
  <dimension ref="A1:K25"/>
  <sheetViews>
    <sheetView zoomScale="70" zoomScaleNormal="70" workbookViewId="0">
      <selection sqref="A1:K25"/>
    </sheetView>
  </sheetViews>
  <sheetFormatPr defaultRowHeight="15" x14ac:dyDescent="0.25"/>
  <cols>
    <col min="1" max="1" width="21" bestFit="1" customWidth="1"/>
    <col min="2" max="2" width="59.42578125" bestFit="1" customWidth="1"/>
    <col min="3" max="3" width="27.140625" bestFit="1" customWidth="1"/>
    <col min="4" max="4" width="11.42578125" bestFit="1" customWidth="1"/>
    <col min="5" max="5" width="22" bestFit="1" customWidth="1"/>
    <col min="6" max="6" width="19.5703125" bestFit="1" customWidth="1"/>
    <col min="7" max="7" width="21.7109375" bestFit="1" customWidth="1"/>
    <col min="8" max="8" width="30.5703125" bestFit="1" customWidth="1"/>
    <col min="9" max="9" width="14.85546875" bestFit="1" customWidth="1"/>
    <col min="10" max="10" width="11.42578125" bestFit="1" customWidth="1"/>
    <col min="11" max="11" width="15.85546875" bestFit="1" customWidth="1"/>
  </cols>
  <sheetData>
    <row r="1" spans="1:11" s="3" customFormat="1" ht="2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689</v>
      </c>
      <c r="F1" s="3" t="s">
        <v>690</v>
      </c>
      <c r="G1" s="3" t="s">
        <v>4</v>
      </c>
      <c r="H1" s="3" t="s">
        <v>691</v>
      </c>
      <c r="I1" s="3" t="s">
        <v>692</v>
      </c>
      <c r="J1" s="3" t="s">
        <v>693</v>
      </c>
      <c r="K1" s="3" t="s">
        <v>694</v>
      </c>
    </row>
    <row r="2" spans="1:11" ht="18.75" x14ac:dyDescent="0.3">
      <c r="A2" s="1" t="s">
        <v>8</v>
      </c>
      <c r="B2" s="1" t="s">
        <v>696</v>
      </c>
      <c r="C2" s="1" t="s">
        <v>697</v>
      </c>
      <c r="D2" s="1" t="s">
        <v>12</v>
      </c>
      <c r="E2" s="1" t="s">
        <v>698</v>
      </c>
      <c r="F2" s="1" t="s">
        <v>699</v>
      </c>
      <c r="G2" s="1" t="s">
        <v>700</v>
      </c>
      <c r="H2" s="1" t="s">
        <v>701</v>
      </c>
      <c r="I2" s="4">
        <v>45481</v>
      </c>
      <c r="J2" s="1" t="s">
        <v>702</v>
      </c>
      <c r="K2" s="6">
        <v>292</v>
      </c>
    </row>
    <row r="3" spans="1:11" ht="18.75" x14ac:dyDescent="0.3">
      <c r="A3" s="1" t="s">
        <v>8</v>
      </c>
      <c r="B3" s="1" t="s">
        <v>703</v>
      </c>
      <c r="C3" s="1" t="s">
        <v>704</v>
      </c>
      <c r="D3" s="1" t="s">
        <v>705</v>
      </c>
      <c r="E3" s="1" t="s">
        <v>698</v>
      </c>
      <c r="F3" s="1" t="s">
        <v>699</v>
      </c>
      <c r="G3" s="1" t="s">
        <v>706</v>
      </c>
      <c r="H3" s="1" t="s">
        <v>707</v>
      </c>
      <c r="I3" s="4">
        <v>45477</v>
      </c>
      <c r="J3" s="1" t="s">
        <v>708</v>
      </c>
      <c r="K3" s="6">
        <v>100</v>
      </c>
    </row>
    <row r="4" spans="1:11" ht="18.75" x14ac:dyDescent="0.3">
      <c r="A4" s="1" t="s">
        <v>8</v>
      </c>
      <c r="B4" s="1" t="s">
        <v>709</v>
      </c>
      <c r="C4" s="1" t="s">
        <v>710</v>
      </c>
      <c r="D4" s="1" t="s">
        <v>705</v>
      </c>
      <c r="E4" s="1" t="s">
        <v>698</v>
      </c>
      <c r="F4" s="1" t="s">
        <v>699</v>
      </c>
      <c r="G4" s="1" t="s">
        <v>711</v>
      </c>
      <c r="H4" s="1" t="s">
        <v>712</v>
      </c>
      <c r="I4" s="4">
        <v>45474</v>
      </c>
      <c r="J4" s="1" t="s">
        <v>713</v>
      </c>
      <c r="K4" s="6">
        <v>1150</v>
      </c>
    </row>
    <row r="5" spans="1:11" ht="18.75" x14ac:dyDescent="0.3">
      <c r="A5" s="1" t="s">
        <v>8</v>
      </c>
      <c r="B5" s="1" t="s">
        <v>714</v>
      </c>
      <c r="C5" s="1" t="s">
        <v>715</v>
      </c>
      <c r="D5" s="1" t="s">
        <v>12</v>
      </c>
      <c r="E5" s="1" t="s">
        <v>698</v>
      </c>
      <c r="F5" s="1" t="s">
        <v>699</v>
      </c>
      <c r="G5" s="1" t="s">
        <v>716</v>
      </c>
      <c r="H5" s="1" t="s">
        <v>717</v>
      </c>
      <c r="I5" s="4">
        <v>45469</v>
      </c>
      <c r="J5" s="1" t="s">
        <v>718</v>
      </c>
      <c r="K5" s="6">
        <v>189.9</v>
      </c>
    </row>
    <row r="6" spans="1:11" ht="18.75" x14ac:dyDescent="0.3">
      <c r="A6" s="1" t="s">
        <v>8</v>
      </c>
      <c r="B6" s="1" t="s">
        <v>719</v>
      </c>
      <c r="C6" s="1" t="s">
        <v>720</v>
      </c>
      <c r="D6" s="1" t="s">
        <v>721</v>
      </c>
      <c r="E6" s="1" t="s">
        <v>698</v>
      </c>
      <c r="F6" s="1" t="s">
        <v>699</v>
      </c>
      <c r="G6" s="1" t="s">
        <v>722</v>
      </c>
      <c r="H6" s="1" t="s">
        <v>723</v>
      </c>
      <c r="I6" s="4">
        <v>45469</v>
      </c>
      <c r="J6" s="1" t="s">
        <v>724</v>
      </c>
      <c r="K6" s="6">
        <v>749.9</v>
      </c>
    </row>
    <row r="7" spans="1:11" ht="18.75" x14ac:dyDescent="0.3">
      <c r="A7" s="1" t="s">
        <v>8</v>
      </c>
      <c r="B7" s="1" t="s">
        <v>725</v>
      </c>
      <c r="C7" s="1" t="s">
        <v>19</v>
      </c>
      <c r="D7" s="1" t="s">
        <v>13</v>
      </c>
      <c r="E7" s="1" t="s">
        <v>698</v>
      </c>
      <c r="F7" s="1" t="s">
        <v>699</v>
      </c>
      <c r="G7" s="1" t="s">
        <v>726</v>
      </c>
      <c r="H7" s="1" t="s">
        <v>727</v>
      </c>
      <c r="I7" s="4">
        <v>45468</v>
      </c>
      <c r="J7" s="1" t="s">
        <v>728</v>
      </c>
      <c r="K7" s="6">
        <v>505</v>
      </c>
    </row>
    <row r="8" spans="1:11" ht="18.75" x14ac:dyDescent="0.3">
      <c r="A8" s="1" t="s">
        <v>8</v>
      </c>
      <c r="B8" s="1" t="s">
        <v>729</v>
      </c>
      <c r="C8" s="1" t="s">
        <v>730</v>
      </c>
      <c r="D8" s="1" t="s">
        <v>18</v>
      </c>
      <c r="E8" s="1" t="s">
        <v>698</v>
      </c>
      <c r="F8" s="1" t="s">
        <v>699</v>
      </c>
      <c r="G8" s="1" t="s">
        <v>731</v>
      </c>
      <c r="H8" s="1" t="s">
        <v>732</v>
      </c>
      <c r="I8" s="4">
        <v>45467</v>
      </c>
      <c r="J8" s="1" t="s">
        <v>733</v>
      </c>
      <c r="K8" s="6">
        <v>360</v>
      </c>
    </row>
    <row r="9" spans="1:11" ht="18.75" x14ac:dyDescent="0.3">
      <c r="A9" s="1" t="s">
        <v>8</v>
      </c>
      <c r="B9" s="1" t="s">
        <v>734</v>
      </c>
      <c r="C9" s="1" t="s">
        <v>735</v>
      </c>
      <c r="D9" s="1" t="s">
        <v>736</v>
      </c>
      <c r="E9" s="1" t="s">
        <v>698</v>
      </c>
      <c r="F9" s="1" t="s">
        <v>699</v>
      </c>
      <c r="G9" s="1" t="s">
        <v>737</v>
      </c>
      <c r="H9" s="1" t="s">
        <v>738</v>
      </c>
      <c r="I9" s="4">
        <v>45461</v>
      </c>
      <c r="J9" s="1" t="s">
        <v>739</v>
      </c>
      <c r="K9" s="6">
        <v>219.99</v>
      </c>
    </row>
    <row r="10" spans="1:11" ht="18.75" x14ac:dyDescent="0.3">
      <c r="A10" s="1" t="s">
        <v>8</v>
      </c>
      <c r="B10" s="1" t="s">
        <v>740</v>
      </c>
      <c r="C10" s="1" t="s">
        <v>741</v>
      </c>
      <c r="D10" s="1" t="s">
        <v>17</v>
      </c>
      <c r="E10" s="1" t="s">
        <v>698</v>
      </c>
      <c r="F10" s="1" t="s">
        <v>699</v>
      </c>
      <c r="G10" s="1" t="s">
        <v>742</v>
      </c>
      <c r="H10" s="1" t="s">
        <v>743</v>
      </c>
      <c r="I10" s="4">
        <v>45460</v>
      </c>
      <c r="J10" s="1" t="s">
        <v>744</v>
      </c>
      <c r="K10" s="6">
        <v>85</v>
      </c>
    </row>
    <row r="11" spans="1:11" ht="18.75" x14ac:dyDescent="0.3">
      <c r="A11" s="1" t="s">
        <v>8</v>
      </c>
      <c r="B11" s="1" t="s">
        <v>745</v>
      </c>
      <c r="C11" s="1" t="s">
        <v>16</v>
      </c>
      <c r="D11" s="1" t="s">
        <v>13</v>
      </c>
      <c r="E11" s="1" t="s">
        <v>698</v>
      </c>
      <c r="F11" s="1" t="s">
        <v>699</v>
      </c>
      <c r="G11" s="1" t="s">
        <v>746</v>
      </c>
      <c r="H11" s="1" t="s">
        <v>747</v>
      </c>
      <c r="I11" s="4">
        <v>45454</v>
      </c>
      <c r="J11" s="1" t="s">
        <v>748</v>
      </c>
      <c r="K11" s="6">
        <v>80</v>
      </c>
    </row>
    <row r="12" spans="1:11" ht="18.75" x14ac:dyDescent="0.3">
      <c r="A12" s="1" t="s">
        <v>8</v>
      </c>
      <c r="B12" s="1" t="s">
        <v>749</v>
      </c>
      <c r="C12" s="1" t="s">
        <v>750</v>
      </c>
      <c r="D12" s="1" t="s">
        <v>736</v>
      </c>
      <c r="E12" s="1" t="s">
        <v>698</v>
      </c>
      <c r="F12" s="1" t="s">
        <v>699</v>
      </c>
      <c r="G12" s="1" t="s">
        <v>751</v>
      </c>
      <c r="H12" s="1" t="s">
        <v>752</v>
      </c>
      <c r="I12" s="4">
        <v>45454</v>
      </c>
      <c r="J12" s="1" t="s">
        <v>753</v>
      </c>
      <c r="K12" s="6">
        <v>260</v>
      </c>
    </row>
    <row r="13" spans="1:11" ht="18.75" x14ac:dyDescent="0.3">
      <c r="A13" s="1" t="s">
        <v>8</v>
      </c>
      <c r="B13" s="1" t="s">
        <v>754</v>
      </c>
      <c r="C13" s="1" t="s">
        <v>755</v>
      </c>
      <c r="D13" s="1" t="s">
        <v>756</v>
      </c>
      <c r="E13" s="1" t="s">
        <v>698</v>
      </c>
      <c r="F13" s="1" t="s">
        <v>699</v>
      </c>
      <c r="G13" s="1" t="s">
        <v>757</v>
      </c>
      <c r="H13" s="1" t="s">
        <v>758</v>
      </c>
      <c r="I13" s="4">
        <v>45454</v>
      </c>
      <c r="J13" s="1" t="s">
        <v>759</v>
      </c>
      <c r="K13" s="6">
        <v>145</v>
      </c>
    </row>
    <row r="14" spans="1:11" ht="18.75" x14ac:dyDescent="0.3">
      <c r="A14" s="1" t="s">
        <v>8</v>
      </c>
      <c r="B14" s="1" t="s">
        <v>760</v>
      </c>
      <c r="C14" s="1" t="s">
        <v>761</v>
      </c>
      <c r="D14" s="1" t="s">
        <v>762</v>
      </c>
      <c r="E14" s="1" t="s">
        <v>698</v>
      </c>
      <c r="F14" s="1" t="s">
        <v>699</v>
      </c>
      <c r="G14" s="1" t="s">
        <v>763</v>
      </c>
      <c r="H14" s="1" t="s">
        <v>764</v>
      </c>
      <c r="I14" s="4">
        <v>45448</v>
      </c>
      <c r="J14" s="1" t="s">
        <v>765</v>
      </c>
      <c r="K14" s="6">
        <v>88</v>
      </c>
    </row>
    <row r="15" spans="1:11" ht="18.75" x14ac:dyDescent="0.3">
      <c r="A15" s="1" t="s">
        <v>8</v>
      </c>
      <c r="B15" s="1" t="s">
        <v>766</v>
      </c>
      <c r="C15" s="1" t="s">
        <v>15</v>
      </c>
      <c r="D15" s="1" t="s">
        <v>11</v>
      </c>
      <c r="E15" s="1" t="s">
        <v>698</v>
      </c>
      <c r="F15" s="1" t="s">
        <v>699</v>
      </c>
      <c r="G15" s="1" t="s">
        <v>767</v>
      </c>
      <c r="H15" s="1" t="s">
        <v>768</v>
      </c>
      <c r="I15" s="4">
        <v>45446</v>
      </c>
      <c r="J15" s="1" t="s">
        <v>769</v>
      </c>
      <c r="K15" s="6">
        <v>116</v>
      </c>
    </row>
    <row r="16" spans="1:11" ht="18.75" x14ac:dyDescent="0.3">
      <c r="A16" s="1" t="s">
        <v>8</v>
      </c>
      <c r="B16" s="1" t="s">
        <v>770</v>
      </c>
      <c r="C16" s="1" t="s">
        <v>14</v>
      </c>
      <c r="D16" s="1" t="s">
        <v>13</v>
      </c>
      <c r="E16" s="1" t="s">
        <v>698</v>
      </c>
      <c r="F16" s="1" t="s">
        <v>699</v>
      </c>
      <c r="G16" s="1" t="s">
        <v>771</v>
      </c>
      <c r="H16" s="1" t="s">
        <v>772</v>
      </c>
      <c r="I16" s="4">
        <v>45443</v>
      </c>
      <c r="J16" s="1" t="s">
        <v>773</v>
      </c>
      <c r="K16" s="6">
        <v>640</v>
      </c>
    </row>
    <row r="17" spans="1:11" ht="18.75" x14ac:dyDescent="0.3">
      <c r="A17" s="1" t="s">
        <v>8</v>
      </c>
      <c r="B17" s="1" t="s">
        <v>774</v>
      </c>
      <c r="C17" s="1" t="s">
        <v>775</v>
      </c>
      <c r="D17" s="1" t="s">
        <v>776</v>
      </c>
      <c r="E17" s="1" t="s">
        <v>698</v>
      </c>
      <c r="F17" s="1" t="s">
        <v>699</v>
      </c>
      <c r="G17" s="1" t="s">
        <v>777</v>
      </c>
      <c r="H17" s="1" t="s">
        <v>778</v>
      </c>
      <c r="I17" s="4">
        <v>45441</v>
      </c>
      <c r="J17" s="1" t="s">
        <v>779</v>
      </c>
      <c r="K17" s="6">
        <v>262</v>
      </c>
    </row>
    <row r="18" spans="1:11" ht="18.75" x14ac:dyDescent="0.3">
      <c r="A18" s="1" t="s">
        <v>8</v>
      </c>
      <c r="B18" s="1" t="s">
        <v>780</v>
      </c>
      <c r="C18" s="1" t="s">
        <v>781</v>
      </c>
      <c r="D18" s="1" t="s">
        <v>13</v>
      </c>
      <c r="E18" s="1" t="s">
        <v>698</v>
      </c>
      <c r="F18" s="1" t="s">
        <v>699</v>
      </c>
      <c r="G18" s="1" t="s">
        <v>782</v>
      </c>
      <c r="H18" s="1" t="s">
        <v>783</v>
      </c>
      <c r="I18" s="4">
        <v>45441</v>
      </c>
      <c r="J18" s="1" t="s">
        <v>784</v>
      </c>
      <c r="K18" s="6">
        <v>252</v>
      </c>
    </row>
    <row r="19" spans="1:11" ht="18.75" x14ac:dyDescent="0.3">
      <c r="A19" s="1" t="s">
        <v>8</v>
      </c>
      <c r="B19" s="1" t="s">
        <v>785</v>
      </c>
      <c r="C19" s="1" t="s">
        <v>786</v>
      </c>
      <c r="D19" s="1" t="s">
        <v>12</v>
      </c>
      <c r="E19" s="1" t="s">
        <v>698</v>
      </c>
      <c r="F19" s="1" t="s">
        <v>699</v>
      </c>
      <c r="G19" s="1" t="s">
        <v>787</v>
      </c>
      <c r="H19" s="1" t="s">
        <v>788</v>
      </c>
      <c r="I19" s="4">
        <v>45440</v>
      </c>
      <c r="J19" s="1" t="s">
        <v>789</v>
      </c>
      <c r="K19" s="6">
        <v>124.99</v>
      </c>
    </row>
    <row r="20" spans="1:11" ht="18.75" x14ac:dyDescent="0.3">
      <c r="A20" s="1" t="s">
        <v>8</v>
      </c>
      <c r="B20" s="1" t="s">
        <v>790</v>
      </c>
      <c r="C20" s="1" t="s">
        <v>791</v>
      </c>
      <c r="D20" s="1" t="s">
        <v>792</v>
      </c>
      <c r="E20" s="1" t="s">
        <v>698</v>
      </c>
      <c r="F20" s="1" t="s">
        <v>699</v>
      </c>
      <c r="G20" s="1" t="s">
        <v>793</v>
      </c>
      <c r="H20" s="1" t="s">
        <v>794</v>
      </c>
      <c r="I20" s="4">
        <v>45439</v>
      </c>
      <c r="J20" s="1" t="s">
        <v>795</v>
      </c>
      <c r="K20" s="6">
        <v>199.9</v>
      </c>
    </row>
    <row r="21" spans="1:11" ht="18.75" x14ac:dyDescent="0.3">
      <c r="A21" s="1" t="s">
        <v>8</v>
      </c>
      <c r="B21" s="1" t="s">
        <v>796</v>
      </c>
      <c r="C21" s="1" t="s">
        <v>797</v>
      </c>
      <c r="D21" s="1" t="s">
        <v>792</v>
      </c>
      <c r="E21" s="1" t="s">
        <v>698</v>
      </c>
      <c r="F21" s="1" t="s">
        <v>699</v>
      </c>
      <c r="G21" s="1" t="s">
        <v>798</v>
      </c>
      <c r="H21" s="1" t="s">
        <v>799</v>
      </c>
      <c r="I21" s="4">
        <v>45439</v>
      </c>
      <c r="J21" s="1" t="s">
        <v>800</v>
      </c>
      <c r="K21" s="6">
        <v>124.99</v>
      </c>
    </row>
    <row r="22" spans="1:11" ht="18.75" x14ac:dyDescent="0.3">
      <c r="A22" s="1" t="s">
        <v>8</v>
      </c>
      <c r="B22" s="1" t="s">
        <v>801</v>
      </c>
      <c r="C22" s="1" t="s">
        <v>802</v>
      </c>
      <c r="D22" s="1" t="s">
        <v>11</v>
      </c>
      <c r="E22" s="1" t="s">
        <v>698</v>
      </c>
      <c r="F22" s="1" t="s">
        <v>699</v>
      </c>
      <c r="G22" s="1" t="s">
        <v>803</v>
      </c>
      <c r="H22" s="1" t="s">
        <v>804</v>
      </c>
      <c r="I22" s="4">
        <v>45436</v>
      </c>
      <c r="J22" s="1" t="s">
        <v>805</v>
      </c>
      <c r="K22" s="6">
        <v>293</v>
      </c>
    </row>
    <row r="23" spans="1:11" ht="18.75" x14ac:dyDescent="0.3">
      <c r="A23" s="1" t="s">
        <v>8</v>
      </c>
      <c r="B23" s="1" t="s">
        <v>766</v>
      </c>
      <c r="C23" s="1" t="s">
        <v>15</v>
      </c>
      <c r="D23" s="1" t="s">
        <v>11</v>
      </c>
      <c r="E23" s="1" t="s">
        <v>698</v>
      </c>
      <c r="F23" s="1" t="s">
        <v>699</v>
      </c>
      <c r="G23" s="1" t="s">
        <v>767</v>
      </c>
      <c r="H23" s="1" t="s">
        <v>806</v>
      </c>
      <c r="I23" s="4">
        <v>44916</v>
      </c>
      <c r="J23" s="1" t="s">
        <v>807</v>
      </c>
      <c r="K23" s="6">
        <v>120</v>
      </c>
    </row>
    <row r="24" spans="1:11" ht="18.75" x14ac:dyDescent="0.3">
      <c r="A24" s="1" t="s">
        <v>8</v>
      </c>
      <c r="B24" s="1" t="s">
        <v>766</v>
      </c>
      <c r="C24" s="1" t="s">
        <v>15</v>
      </c>
      <c r="D24" s="1" t="s">
        <v>11</v>
      </c>
      <c r="E24" s="1" t="s">
        <v>698</v>
      </c>
      <c r="F24" s="1" t="s">
        <v>699</v>
      </c>
      <c r="G24" s="1" t="s">
        <v>767</v>
      </c>
      <c r="H24" s="1" t="s">
        <v>808</v>
      </c>
      <c r="I24" s="4">
        <v>44750</v>
      </c>
      <c r="J24" s="1" t="s">
        <v>809</v>
      </c>
      <c r="K24" s="6">
        <v>70</v>
      </c>
    </row>
    <row r="25" spans="1:11" ht="18.75" x14ac:dyDescent="0.3">
      <c r="A25" s="1" t="s">
        <v>695</v>
      </c>
      <c r="B25" s="1"/>
      <c r="C25" s="1"/>
      <c r="D25" s="1"/>
      <c r="E25" s="1"/>
      <c r="F25" s="1"/>
      <c r="G25" s="1"/>
      <c r="H25" s="1"/>
      <c r="I25" s="1"/>
      <c r="J25" s="1"/>
      <c r="K25" s="6">
        <f>SUBTOTAL(109,minhas_vendas[TOTAL])</f>
        <v>6427.6699999999992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hange_path_vendas">
                <anchor moveWithCells="1" sizeWithCells="1">
                  <from>
                    <xdr:col>13</xdr:col>
                    <xdr:colOff>295275</xdr:colOff>
                    <xdr:row>3</xdr:row>
                    <xdr:rowOff>0</xdr:rowOff>
                  </from>
                  <to>
                    <xdr:col>18</xdr:col>
                    <xdr:colOff>485775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AB130-5EE9-4912-A4C5-8E9680B2E206}">
  <sheetPr codeName="Planilha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2AD14-9A34-446B-B756-9693BB26E447}">
  <sheetPr codeName="Planilha6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3499AAFC-9F10-4120-8B3B-5C08E53A5459}">
  <ds:schemaRefs/>
</ds:datastoreItem>
</file>

<file path=customXml/itemProps2.xml><?xml version="1.0" encoding="utf-8"?>
<ds:datastoreItem xmlns:ds="http://schemas.openxmlformats.org/officeDocument/2006/customXml" ds:itemID="{072D09D2-EB4D-4E29-B3DE-19189975B2A7}">
  <ds:schemaRefs/>
</ds:datastoreItem>
</file>

<file path=customXml/itemProps3.xml><?xml version="1.0" encoding="utf-8"?>
<ds:datastoreItem xmlns:ds="http://schemas.openxmlformats.org/officeDocument/2006/customXml" ds:itemID="{6473B67A-D410-44A2-BA6E-42ECB3E6C8C2}">
  <ds:schemaRefs/>
</ds:datastoreItem>
</file>

<file path=customXml/itemProps4.xml><?xml version="1.0" encoding="utf-8"?>
<ds:datastoreItem xmlns:ds="http://schemas.openxmlformats.org/officeDocument/2006/customXml" ds:itemID="{D87D0210-E4CD-4679-8CA3-576C6642BE34}">
  <ds:schemaRefs/>
</ds:datastoreItem>
</file>

<file path=customXml/itemProps5.xml><?xml version="1.0" encoding="utf-8"?>
<ds:datastoreItem xmlns:ds="http://schemas.openxmlformats.org/officeDocument/2006/customXml" ds:itemID="{E09E810B-FD1B-41B4-A78E-22AE9D82F6A5}">
  <ds:schemaRefs/>
</ds:datastoreItem>
</file>

<file path=customXml/itemProps6.xml><?xml version="1.0" encoding="utf-8"?>
<ds:datastoreItem xmlns:ds="http://schemas.openxmlformats.org/officeDocument/2006/customXml" ds:itemID="{72AE8807-3905-47B0-95E3-B5EE03D09AB2}">
  <ds:schemaRefs/>
</ds:datastoreItem>
</file>

<file path=customXml/itemProps7.xml><?xml version="1.0" encoding="utf-8"?>
<ds:datastoreItem xmlns:ds="http://schemas.openxmlformats.org/officeDocument/2006/customXml" ds:itemID="{726E9995-131B-4F91-B6CC-61369B5F819B}">
  <ds:schemaRefs/>
</ds:datastoreItem>
</file>

<file path=customXml/itemProps8.xml><?xml version="1.0" encoding="utf-8"?>
<ds:datastoreItem xmlns:ds="http://schemas.openxmlformats.org/officeDocument/2006/customXml" ds:itemID="{1BFF61CF-03D6-400A-B002-884783410EF0}">
  <ds:schemaRefs/>
</ds:datastoreItem>
</file>

<file path=customXml/itemProps9.xml><?xml version="1.0" encoding="utf-8"?>
<ds:datastoreItem xmlns:ds="http://schemas.openxmlformats.org/officeDocument/2006/customXml" ds:itemID="{CB4A3B14-9BD1-4A86-A599-1AC434CA082E}">
  <ds:schemaRefs/>
</ds:datastoreItem>
</file>

<file path=customXml/itemProps10.xml><?xml version="1.0" encoding="utf-8"?>
<ds:datastoreItem xmlns:ds="http://schemas.openxmlformats.org/officeDocument/2006/customXml" ds:itemID="{915130D3-6C8E-4D48-A5B9-D0A1BE3D4A8F}">
  <ds:schemaRefs/>
</ds:datastoreItem>
</file>

<file path=customXml/itemProps11.xml><?xml version="1.0" encoding="utf-8"?>
<ds:datastoreItem xmlns:ds="http://schemas.openxmlformats.org/officeDocument/2006/customXml" ds:itemID="{BB4E66FA-7938-413D-A673-BD14680B7CD2}">
  <ds:schemaRefs/>
</ds:datastoreItem>
</file>

<file path=customXml/itemProps12.xml><?xml version="1.0" encoding="utf-8"?>
<ds:datastoreItem xmlns:ds="http://schemas.openxmlformats.org/officeDocument/2006/customXml" ds:itemID="{EB74C588-E540-4682-9A32-FFC8D2D0047D}">
  <ds:schemaRefs/>
</ds:datastoreItem>
</file>

<file path=customXml/itemProps13.xml><?xml version="1.0" encoding="utf-8"?>
<ds:datastoreItem xmlns:ds="http://schemas.openxmlformats.org/officeDocument/2006/customXml" ds:itemID="{1956094E-7FFE-403C-9C44-F15FCBDC8B7E}">
  <ds:schemaRefs/>
</ds:datastoreItem>
</file>

<file path=customXml/itemProps14.xml><?xml version="1.0" encoding="utf-8"?>
<ds:datastoreItem xmlns:ds="http://schemas.openxmlformats.org/officeDocument/2006/customXml" ds:itemID="{95AF8B0D-5CB6-4332-A727-AF1AC1544280}">
  <ds:schemaRefs/>
</ds:datastoreItem>
</file>

<file path=customXml/itemProps15.xml><?xml version="1.0" encoding="utf-8"?>
<ds:datastoreItem xmlns:ds="http://schemas.openxmlformats.org/officeDocument/2006/customXml" ds:itemID="{D80E9D63-BF85-407A-B635-4842E96D9588}">
  <ds:schemaRefs/>
</ds:datastoreItem>
</file>

<file path=customXml/itemProps16.xml><?xml version="1.0" encoding="utf-8"?>
<ds:datastoreItem xmlns:ds="http://schemas.openxmlformats.org/officeDocument/2006/customXml" ds:itemID="{B7E123B4-9E43-4ACC-A444-8B7E6D5843C8}">
  <ds:schemaRefs/>
</ds:datastoreItem>
</file>

<file path=customXml/itemProps17.xml><?xml version="1.0" encoding="utf-8"?>
<ds:datastoreItem xmlns:ds="http://schemas.openxmlformats.org/officeDocument/2006/customXml" ds:itemID="{D7CCCD4E-3811-4B66-A423-511FCB46D57D}">
  <ds:schemaRefs/>
</ds:datastoreItem>
</file>

<file path=customXml/itemProps18.xml><?xml version="1.0" encoding="utf-8"?>
<ds:datastoreItem xmlns:ds="http://schemas.openxmlformats.org/officeDocument/2006/customXml" ds:itemID="{FB0BF7B1-D4C0-43A4-807D-B62114CB2017}">
  <ds:schemaRefs/>
</ds:datastoreItem>
</file>

<file path=customXml/itemProps19.xml><?xml version="1.0" encoding="utf-8"?>
<ds:datastoreItem xmlns:ds="http://schemas.openxmlformats.org/officeDocument/2006/customXml" ds:itemID="{5A47D4C6-CC47-43BA-B9AC-E718B186CCB2}">
  <ds:schemaRefs/>
</ds:datastoreItem>
</file>

<file path=customXml/itemProps20.xml><?xml version="1.0" encoding="utf-8"?>
<ds:datastoreItem xmlns:ds="http://schemas.openxmlformats.org/officeDocument/2006/customXml" ds:itemID="{3DFC6145-4AFE-429B-B20E-DB22A43E0D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Clientes</vt:lpstr>
      <vt:lpstr>Planilha5</vt:lpstr>
      <vt:lpstr>Planilha4</vt:lpstr>
      <vt:lpstr>Vendas</vt:lpstr>
      <vt:lpstr>View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Maycon Arruda</dc:creator>
  <cp:lastModifiedBy>Manoel Félix</cp:lastModifiedBy>
  <dcterms:created xsi:type="dcterms:W3CDTF">2024-07-12T15:27:44Z</dcterms:created>
  <dcterms:modified xsi:type="dcterms:W3CDTF">2024-07-29T20:46:53Z</dcterms:modified>
</cp:coreProperties>
</file>
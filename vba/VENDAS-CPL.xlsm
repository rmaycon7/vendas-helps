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ml01\Desktop\Dev\vendas-helps\vba\"/>
    </mc:Choice>
  </mc:AlternateContent>
  <xr:revisionPtr revIDLastSave="0" documentId="13_ncr:1_{7DE2009C-ECBB-4BE8-B87C-9858763C6FD2}" xr6:coauthVersionLast="36" xr6:coauthVersionMax="36" xr10:uidLastSave="{00000000-0000-0000-0000-000000000000}"/>
  <bookViews>
    <workbookView xWindow="0" yWindow="0" windowWidth="28800" windowHeight="12105" activeTab="4" xr2:uid="{010FB793-E84E-418B-AB43-61166F4C693C}"/>
  </bookViews>
  <sheets>
    <sheet name="Clientes" sheetId="2" r:id="rId1"/>
    <sheet name="Dinamica-Vendas" sheetId="16" r:id="rId2"/>
    <sheet name="Vendas" sheetId="4" r:id="rId3"/>
    <sheet name="View" sheetId="1" r:id="rId4"/>
    <sheet name="Dinamica-Clientes" sheetId="33" r:id="rId5"/>
  </sheets>
  <definedNames>
    <definedName name="_xlnm._FilterDatabase" localSheetId="1" hidden="1">'Dinamica-Vendas'!$A$1:$B$22</definedName>
    <definedName name="_xlcn.WorksheetConnection_VendasA1K251" hidden="1">Vendas!$A$1:$K$26</definedName>
    <definedName name="_xlcn.WorksheetConnection_VENDASCPL.xlsmminhas_vendas1" hidden="1">minhas_vendas[]</definedName>
    <definedName name="DadosExternos_1" localSheetId="2" hidden="1">Vendas!$A$1:$M$24</definedName>
    <definedName name="SegmentaçãodeDados_CIDADE">#N/A</definedName>
    <definedName name="SegmentaçãodeDados_CIDADE1">#N/A</definedName>
    <definedName name="SegmentaçãodeDados_EXTERNO">#N/A</definedName>
    <definedName name="SegmentaçãodeDados_RAZAOSOCIAL">#N/A</definedName>
    <definedName name="SegmentaçãodeDados_UF">#N/A</definedName>
    <definedName name="SegmentaçãodeDados_ULTIMACOMPRA">#N/A</definedName>
    <definedName name="Timeline_DATA">#N/A</definedName>
    <definedName name="Timeline_ULTIMACOMPRA">#N/A</definedName>
  </definedNames>
  <calcPr calcId="191029"/>
  <pivotCaches>
    <pivotCache cacheId="119" r:id="rId6"/>
    <pivotCache cacheId="187" r:id="rId7"/>
  </pivotCaches>
  <extLst>
    <ext xmlns:x14="http://schemas.microsoft.com/office/spreadsheetml/2009/9/main" uri="{876F7934-8845-4945-9796-88D515C7AA90}">
      <x14:pivotCaches>
        <pivotCache cacheId="105" r:id="rId8"/>
        <pivotCache cacheId="166" r:id="rId9"/>
        <pivotCache cacheId="178" r:id="rId10"/>
      </x14:pivotCaches>
    </ex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06" r:id="rId17"/>
        <pivotCache cacheId="167" r:id="rId18"/>
      </x15:timelineCachePivotCaches>
    </ext>
    <ext xmlns:x15="http://schemas.microsoft.com/office/spreadsheetml/2010/11/main" uri="{D0CA8CA8-9F24-4464-BF8E-62219DCF47F9}">
      <x15:timelineCacheRefs>
        <x15:timelineCacheRef r:id="rId19"/>
        <x15:timelineCacheRef r:id="rId20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inhas-vendas_8abc639c-b2dd-4c0a-9dc2-7f202635d3f6" name="minhas-vendas" connection="Consulta - minhas-vendas"/>
          <x15:modelTable id="meus-clientes_896755ac-b7cd-4f69-9ac4-4dcf68b32f2d" name="meus-clientes" connection="Consulta - meus-clientes"/>
          <x15:modelTable id="minhas_vendas" name="minhas_vendas" connection="WorksheetConnection_VENDAS-CPL.xlsm!minhas_vendas"/>
          <x15:modelTable id="Intervalo" name="Intervalo" connection="WorksheetConnection_Vendas!$A$1:$K$25"/>
        </x15:modelTables>
        <x15:extLst>
          <ext xmlns:x16="http://schemas.microsoft.com/office/spreadsheetml/2014/11/main" uri="{9835A34E-60A6-4A7C-AAB8-D5F71C897F49}">
            <x16:modelTimeGroupings>
              <x16:modelTimeGrouping tableName="minhas-vendas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meus-clientes" columnName="ULTIMACOMPRA" columnId="ULTIMACOMPRA">
                <x16:calculatedTimeColumn columnName="ULTIMACOMPRA (Ano)" columnId="ULTIMACOMPRA (Ano)" contentType="years" isSelected="1"/>
                <x16:calculatedTimeColumn columnName="ULTIMACOMPRA (Trimestre)" columnId="ULTIMACOMPRA (Trimestre)" contentType="quarters" isSelected="1"/>
                <x16:calculatedTimeColumn columnName="ULTIMACOMPRA (Índice de Mês)" columnId="ULTIMACOMPRA (Índice de Mês)" contentType="monthsindex" isSelected="1"/>
                <x16:calculatedTimeColumn columnName="ULTIMACOMPRA (Mês)" columnId="ULTIMACOMPRA (Mês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K2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6DF8B5-E9F4-43A7-BC53-E151AE7FCDD2}" name="Consulta - meus-clientes" description="Conexão com a consulta 'meus-clientes' na pasta de trabalho." type="100" refreshedVersion="6" minRefreshableVersion="5">
    <extLst>
      <ext xmlns:x15="http://schemas.microsoft.com/office/spreadsheetml/2010/11/main" uri="{DE250136-89BD-433C-8126-D09CA5730AF9}">
        <x15:connection id="814548d5-3eef-40b4-9dfe-fdb9314c542e"/>
      </ext>
    </extLst>
  </connection>
  <connection id="2" xr16:uid="{179B3163-7D3E-4785-B991-00BB188F9462}" odcFile="D:\ml01\Documents\Minhas fontes de dados\Consulta - minhas-vendas.odc" name="Consulta - minhas-vendas" description="Conexão com a consulta 'minhas-vendas' na pasta de trabalho." type="100" refreshedVersion="6" minRefreshableVersion="5">
    <extLst>
      <ext xmlns:x15="http://schemas.microsoft.com/office/spreadsheetml/2010/11/main" uri="{DE250136-89BD-433C-8126-D09CA5730AF9}">
        <x15:connection id="373c13cb-b164-46be-b637-4e2e9c2b9572">
          <x15:oledbPr connection="Provider=Microsoft.Mashup.OleDb.1;Data Source=$Workbook$;Location=minhas-vendas;Extended Properties=&quot;&quot;">
            <x15:dbTables>
              <x15:dbTable name="minhas-vendas"/>
            </x15:dbTables>
          </x15:oledbPr>
        </x15:connection>
      </ext>
    </extLst>
  </connection>
  <connection id="3" xr16:uid="{7090665A-AC59-44DE-BA39-ADBDF11EDE42}" keepAlive="1" name="ModelConnection_DadosExternos_1" description="Modelo de Dados" type="5" refreshedVersion="6" minRefreshableVersion="5" saveData="1">
    <dbPr connection="Data Model Connection" command="minhas-vendas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D3B126D4-CB8C-4524-8901-C86159484DC7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C160AA72-D0DF-4FD7-972C-BB8B31BDE653}" name="WorksheetConnection_Vendas!$A$1:$K$25" type="102" refreshedVersion="6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asA1K251"/>
        </x15:connection>
      </ext>
    </extLst>
  </connection>
  <connection id="6" xr16:uid="{A01020B1-30BF-4CF0-8A5B-22482094AD99}" name="WorksheetConnection_VENDAS-CPL.xlsm!minhas_vendas" type="102" refreshedVersion="6" minRefreshableVersion="5">
    <extLst>
      <ext xmlns:x15="http://schemas.microsoft.com/office/spreadsheetml/2010/11/main" uri="{DE250136-89BD-433C-8126-D09CA5730AF9}">
        <x15:connection id="minhas_vendas">
          <x15:rangePr sourceName="_xlcn.WorksheetConnection_VENDASCPL.xlsmminhas_venda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4">
    <s v="ThisWorkbookDataModel"/>
    <s v="{[minhas-vendas].[RAZAOSOCIAL].[All]}"/>
    <s v="{[minhas-vendas].[CIDADE].[All]}"/>
    <s v="{[meus-clientes].[CIDADE].[All]}"/>
  </metadataStrings>
  <mdxMetadata count="3">
    <mdx n="0" f="s">
      <ms ns="1" c="0"/>
    </mdx>
    <mdx n="0" f="s">
      <ms ns="2" c="0"/>
    </mdx>
    <mdx n="0" f="s">
      <ms ns="3" c="0"/>
    </mdx>
  </mdx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<sst xmlns="http://schemas.openxmlformats.org/spreadsheetml/2006/main" count="465" uniqueCount="179">
  <si>
    <t>SITUACAO</t>
  </si>
  <si>
    <t>RAZAOSOCIAL</t>
  </si>
  <si>
    <t>CIDADE</t>
  </si>
  <si>
    <t>UF</t>
  </si>
  <si>
    <t>CGC</t>
  </si>
  <si>
    <t>ULTIMACOMPRA</t>
  </si>
  <si>
    <t>FONE</t>
  </si>
  <si>
    <t>EMAIL</t>
  </si>
  <si>
    <t>ATIVO</t>
  </si>
  <si>
    <t>(00) 00000-0000</t>
  </si>
  <si>
    <t>n@o.tem</t>
  </si>
  <si>
    <t>RJ</t>
  </si>
  <si>
    <t>MS</t>
  </si>
  <si>
    <t>SP</t>
  </si>
  <si>
    <t>SAO CARLOS</t>
  </si>
  <si>
    <t>RIO DE JANEIRO</t>
  </si>
  <si>
    <t>SAO PAULO</t>
  </si>
  <si>
    <t>GO</t>
  </si>
  <si>
    <t>PA</t>
  </si>
  <si>
    <t>BOITUVA</t>
  </si>
  <si>
    <t>BLOQUEADO</t>
  </si>
  <si>
    <t>VENDEDOR</t>
  </si>
  <si>
    <t>EXTERNO</t>
  </si>
  <si>
    <t>CODORCAMENTO</t>
  </si>
  <si>
    <t>DATA</t>
  </si>
  <si>
    <t>NF</t>
  </si>
  <si>
    <t>TOTAL</t>
  </si>
  <si>
    <t>Total</t>
  </si>
  <si>
    <t>Rótulos de Linha</t>
  </si>
  <si>
    <t>Total Geral</t>
  </si>
  <si>
    <t>All</t>
  </si>
  <si>
    <t>DATA (Índice de Mês)</t>
  </si>
  <si>
    <t>DATA (Mês)</t>
  </si>
  <si>
    <t>jul</t>
  </si>
  <si>
    <t>jun</t>
  </si>
  <si>
    <t>mai</t>
  </si>
  <si>
    <t>VITOR PERES JACOB</t>
  </si>
  <si>
    <t>CORONEL FABRICIANO</t>
  </si>
  <si>
    <t>MG</t>
  </si>
  <si>
    <t>10917388666</t>
  </si>
  <si>
    <t>ERALDO LOPES</t>
  </si>
  <si>
    <t>SORRISO</t>
  </si>
  <si>
    <t>MT</t>
  </si>
  <si>
    <t>75977907168</t>
  </si>
  <si>
    <t>MARCELO B. VASCONCELOS</t>
  </si>
  <si>
    <t>NOVA SERRANA</t>
  </si>
  <si>
    <t>05635319670</t>
  </si>
  <si>
    <t>MARCUS R. FIGUEIREDO</t>
  </si>
  <si>
    <t>SEROPEDICA</t>
  </si>
  <si>
    <t>07313905718</t>
  </si>
  <si>
    <t>PRISCILLA RIBEIRO DE FREITAS MELO</t>
  </si>
  <si>
    <t>PARACATU</t>
  </si>
  <si>
    <t>06379355600</t>
  </si>
  <si>
    <t>LEONARDO CHAVES DE SOUSA</t>
  </si>
  <si>
    <t>IGARAPE</t>
  </si>
  <si>
    <t>40345920600</t>
  </si>
  <si>
    <t>FERNANDA MONTEIRO DA SILVA</t>
  </si>
  <si>
    <t>COXIM</t>
  </si>
  <si>
    <t>05022677636</t>
  </si>
  <si>
    <t>MARTA T. BORGES</t>
  </si>
  <si>
    <t>GUARACI</t>
  </si>
  <si>
    <t>07338162824</t>
  </si>
  <si>
    <t>VITOR M. F. GOMES</t>
  </si>
  <si>
    <t>VICENCIA</t>
  </si>
  <si>
    <t>PE</t>
  </si>
  <si>
    <t>10203870417</t>
  </si>
  <si>
    <t>ERNESTO VOLANTE JUNIOR</t>
  </si>
  <si>
    <t>07302513813</t>
  </si>
  <si>
    <t>BRUNO CAMILO</t>
  </si>
  <si>
    <t>13004504790</t>
  </si>
  <si>
    <t>21 973096858</t>
  </si>
  <si>
    <t>VANDREY PEDROZA BISPO</t>
  </si>
  <si>
    <t>CONCEICAO DA BARRA</t>
  </si>
  <si>
    <t>ES</t>
  </si>
  <si>
    <t>16581627739</t>
  </si>
  <si>
    <t>IGOR FIGUEIREDO CARNEIRO</t>
  </si>
  <si>
    <t>PARNAIBA</t>
  </si>
  <si>
    <t>PI</t>
  </si>
  <si>
    <t>43985335320</t>
  </si>
  <si>
    <t>LUIZ ANTONIO DOS SANTOS</t>
  </si>
  <si>
    <t>07664307821</t>
  </si>
  <si>
    <t>ANTONIO TOMAZ DE AQUINO AZARIAS DA SILVA</t>
  </si>
  <si>
    <t>CUIABA</t>
  </si>
  <si>
    <t>36232319168</t>
  </si>
  <si>
    <t>STILLO NAUTICA LTDA</t>
  </si>
  <si>
    <t>UNAI</t>
  </si>
  <si>
    <t>17962363000100</t>
  </si>
  <si>
    <t>(38) 3677-3782</t>
  </si>
  <si>
    <t>stillonauticastihl@hotmail.com</t>
  </si>
  <si>
    <t>GUSTAVO HENRIQUE DE FREITAS</t>
  </si>
  <si>
    <t>QUIRINOPOLIS</t>
  </si>
  <si>
    <t>34991557100</t>
  </si>
  <si>
    <t>P M DE CONTO LTDA</t>
  </si>
  <si>
    <t>GUARANTA DO NORTE</t>
  </si>
  <si>
    <t>19397471000103</t>
  </si>
  <si>
    <t>HUILIAM BEZERRA</t>
  </si>
  <si>
    <t>BELEM</t>
  </si>
  <si>
    <t>69965870268</t>
  </si>
  <si>
    <t>ALEX DA CUNHA CAMARGO SANTOS</t>
  </si>
  <si>
    <t>42424009856</t>
  </si>
  <si>
    <t>15 991604173</t>
  </si>
  <si>
    <t>VITOR SOARES TAVARES NOTA FISCAL ELETRÔNICA</t>
  </si>
  <si>
    <t>PALMAS</t>
  </si>
  <si>
    <t>TO</t>
  </si>
  <si>
    <t>03360728211</t>
  </si>
  <si>
    <t>PATRÍCIA FARIAS PARIZ</t>
  </si>
  <si>
    <t>ANASTACIO</t>
  </si>
  <si>
    <t>01843297108</t>
  </si>
  <si>
    <t>REGINALDO BARBOSA DE SOUZA</t>
  </si>
  <si>
    <t>JARDIM</t>
  </si>
  <si>
    <t>60851899153</t>
  </si>
  <si>
    <t>(67) 99802-7296</t>
  </si>
  <si>
    <t>rb_souza2014@hotmail.com</t>
  </si>
  <si>
    <t>HELIO DE ALMEIDA MORAIS</t>
  </si>
  <si>
    <t>PRESIDENTE DUTRA</t>
  </si>
  <si>
    <t>MA</t>
  </si>
  <si>
    <t>84801000363</t>
  </si>
  <si>
    <t>JOEL MORAES</t>
  </si>
  <si>
    <t>JOINVILLE</t>
  </si>
  <si>
    <t>SC</t>
  </si>
  <si>
    <t>00581309936</t>
  </si>
  <si>
    <t>(47) 98409-0950</t>
  </si>
  <si>
    <t>moraisjoel@hotmail.com</t>
  </si>
  <si>
    <t>JAISON ANDRE SILVA BRAGA</t>
  </si>
  <si>
    <t>VARGEM GRANDE</t>
  </si>
  <si>
    <t>97541311391</t>
  </si>
  <si>
    <t>LUÍS ROBERTO DE OLIVEIRA</t>
  </si>
  <si>
    <t>CAMPO GRANDE</t>
  </si>
  <si>
    <t>22186227851</t>
  </si>
  <si>
    <t>MAYCON ARRUDA</t>
  </si>
  <si>
    <t>E-COMMERCE</t>
  </si>
  <si>
    <t>728780</t>
  </si>
  <si>
    <t>397178</t>
  </si>
  <si>
    <t>716685</t>
  </si>
  <si>
    <t>396943</t>
  </si>
  <si>
    <t>727848</t>
  </si>
  <si>
    <t>396454</t>
  </si>
  <si>
    <t>727241</t>
  </si>
  <si>
    <t>395746</t>
  </si>
  <si>
    <t>727245</t>
  </si>
  <si>
    <t>395748</t>
  </si>
  <si>
    <t>726989</t>
  </si>
  <si>
    <t>395581</t>
  </si>
  <si>
    <t>726857</t>
  </si>
  <si>
    <t>395442</t>
  </si>
  <si>
    <t>726008</t>
  </si>
  <si>
    <t>394811</t>
  </si>
  <si>
    <t>725860</t>
  </si>
  <si>
    <t>394706</t>
  </si>
  <si>
    <t>725173</t>
  </si>
  <si>
    <t>393947</t>
  </si>
  <si>
    <t>724989</t>
  </si>
  <si>
    <t>393951</t>
  </si>
  <si>
    <t>725077</t>
  </si>
  <si>
    <t>393949</t>
  </si>
  <si>
    <t>724145</t>
  </si>
  <si>
    <t>393089</t>
  </si>
  <si>
    <t>723901</t>
  </si>
  <si>
    <t>392933</t>
  </si>
  <si>
    <t>723588</t>
  </si>
  <si>
    <t>392717</t>
  </si>
  <si>
    <t>723243</t>
  </si>
  <si>
    <t>392328</t>
  </si>
  <si>
    <t>723336</t>
  </si>
  <si>
    <t>392343</t>
  </si>
  <si>
    <t>723052</t>
  </si>
  <si>
    <t>392162</t>
  </si>
  <si>
    <t>722853</t>
  </si>
  <si>
    <t>391973</t>
  </si>
  <si>
    <t>722875</t>
  </si>
  <si>
    <t>392000</t>
  </si>
  <si>
    <t>722789</t>
  </si>
  <si>
    <t>391904</t>
  </si>
  <si>
    <t>648008</t>
  </si>
  <si>
    <t>328927</t>
  </si>
  <si>
    <t>dez</t>
  </si>
  <si>
    <t>627159</t>
  </si>
  <si>
    <t>310839</t>
  </si>
  <si>
    <t>13004504790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</si>
</sst>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ck">
        <color theme="2" tint="-9.9948118533890809E-2"/>
      </left>
      <right style="thick">
        <color theme="2" tint="-9.9948118533890809E-2"/>
      </right>
      <top style="thick">
        <color theme="2" tint="-9.9948118533890809E-2"/>
      </top>
      <bottom style="thick">
        <color theme="2" tint="-9.9948118533890809E-2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14" fontId="1" fillId="0" borderId="0" xfId="0" applyNumberFormat="1" applyFont="1"/>
    <xf numFmtId="16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1" xfId="0" applyBorder="1" applyProtection="1">
      <protection locked="0"/>
    </xf>
    <xf numFmtId="14" fontId="2" fillId="0" borderId="0" xfId="0" applyNumberFormat="1" applyFont="1" applyAlignment="1">
      <alignment horizontal="center"/>
    </xf>
    <xf numFmtId="164" fontId="0" fillId="0" borderId="0" xfId="0" applyNumberFormat="1"/>
    <xf numFmtId="14" fontId="0" fillId="0" borderId="0" xfId="0" applyNumberFormat="1" applyAlignment="1">
      <alignment horizontal="left" indent="2"/>
    </xf>
  </cellXfs>
  <cellStyles count="1">
    <cellStyle name="Normal" xfId="0" builtinId="0"/>
  </cellStyles>
  <dxfs count="35"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R$&quot;\ #,##0.0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R$&quot;\ #,##0.0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left style="thick">
          <color theme="2" tint="-9.9948118533890809E-2"/>
        </left>
        <right style="thick">
          <color theme="2" tint="-9.9948118533890809E-2"/>
        </right>
        <top style="thick">
          <color theme="2" tint="-9.9948118533890809E-2"/>
        </top>
        <bottom style="thick">
          <color theme="2" tint="-9.9948118533890809E-2"/>
        </bottom>
      </border>
      <protection locked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3.xml"/><Relationship Id="rId18" Type="http://schemas.openxmlformats.org/officeDocument/2006/relationships/pivotCacheDefinition" Target="pivotCache/pivotCacheDefinition7.xml"/><Relationship Id="rId26" Type="http://schemas.openxmlformats.org/officeDocument/2006/relationships/powerPivotData" Target="model/item.data"/><Relationship Id="rId39" Type="http://schemas.openxmlformats.org/officeDocument/2006/relationships/customXml" Target="../customXml/item12.xml"/><Relationship Id="rId21" Type="http://schemas.openxmlformats.org/officeDocument/2006/relationships/theme" Target="theme/theme1.xml"/><Relationship Id="rId34" Type="http://schemas.openxmlformats.org/officeDocument/2006/relationships/customXml" Target="../customXml/item7.xml"/><Relationship Id="rId42" Type="http://schemas.openxmlformats.org/officeDocument/2006/relationships/customXml" Target="../customXml/item15.xml"/><Relationship Id="rId47" Type="http://schemas.openxmlformats.org/officeDocument/2006/relationships/customXml" Target="../customXml/item20.xml"/><Relationship Id="rId50" Type="http://schemas.openxmlformats.org/officeDocument/2006/relationships/customXml" Target="../customXml/item2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9" Type="http://schemas.openxmlformats.org/officeDocument/2006/relationships/customXml" Target="../customXml/item2.xml"/><Relationship Id="rId11" Type="http://schemas.microsoft.com/office/2007/relationships/slicerCache" Target="slicerCaches/slicerCache1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5.xml"/><Relationship Id="rId37" Type="http://schemas.openxmlformats.org/officeDocument/2006/relationships/customXml" Target="../customXml/item10.xml"/><Relationship Id="rId40" Type="http://schemas.openxmlformats.org/officeDocument/2006/relationships/customXml" Target="../customXml/item13.xml"/><Relationship Id="rId45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36" Type="http://schemas.openxmlformats.org/officeDocument/2006/relationships/customXml" Target="../customXml/item9.xml"/><Relationship Id="rId49" Type="http://schemas.openxmlformats.org/officeDocument/2006/relationships/customXml" Target="../customXml/item22.xml"/><Relationship Id="rId10" Type="http://schemas.openxmlformats.org/officeDocument/2006/relationships/pivotCacheDefinition" Target="pivotCache/pivotCacheDefinition5.xml"/><Relationship Id="rId19" Type="http://schemas.microsoft.com/office/2011/relationships/timelineCache" Target="timelineCaches/timelineCache1.xml"/><Relationship Id="rId31" Type="http://schemas.openxmlformats.org/officeDocument/2006/relationships/customXml" Target="../customXml/item4.xml"/><Relationship Id="rId44" Type="http://schemas.openxmlformats.org/officeDocument/2006/relationships/customXml" Target="../customXml/item17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7/relationships/slicerCache" Target="slicerCaches/slicerCache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Relationship Id="rId35" Type="http://schemas.openxmlformats.org/officeDocument/2006/relationships/customXml" Target="../customXml/item8.xml"/><Relationship Id="rId43" Type="http://schemas.openxmlformats.org/officeDocument/2006/relationships/customXml" Target="../customXml/item16.xml"/><Relationship Id="rId48" Type="http://schemas.openxmlformats.org/officeDocument/2006/relationships/customXml" Target="../customXml/item21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24.xml"/><Relationship Id="rId3" Type="http://schemas.openxmlformats.org/officeDocument/2006/relationships/worksheet" Target="worksheets/sheet3.xml"/><Relationship Id="rId12" Type="http://schemas.microsoft.com/office/2007/relationships/slicerCache" Target="slicerCaches/slicerCache2.xml"/><Relationship Id="rId17" Type="http://schemas.openxmlformats.org/officeDocument/2006/relationships/pivotCacheDefinition" Target="pivotCache/pivotCacheDefinition6.xml"/><Relationship Id="rId25" Type="http://schemas.openxmlformats.org/officeDocument/2006/relationships/sheetMetadata" Target="metadata.xml"/><Relationship Id="rId33" Type="http://schemas.openxmlformats.org/officeDocument/2006/relationships/customXml" Target="../customXml/item6.xml"/><Relationship Id="rId38" Type="http://schemas.openxmlformats.org/officeDocument/2006/relationships/customXml" Target="../customXml/item11.xml"/><Relationship Id="rId46" Type="http://schemas.openxmlformats.org/officeDocument/2006/relationships/customXml" Target="../customXml/item19.xml"/><Relationship Id="rId20" Type="http://schemas.microsoft.com/office/2011/relationships/timelineCache" Target="timelineCaches/timelineCache2.xml"/><Relationship Id="rId41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0</xdr:row>
          <xdr:rowOff>0</xdr:rowOff>
        </xdr:from>
        <xdr:to>
          <xdr:col>13</xdr:col>
          <xdr:colOff>9525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492922</xdr:colOff>
      <xdr:row>17</xdr:row>
      <xdr:rowOff>21430</xdr:rowOff>
    </xdr:from>
    <xdr:to>
      <xdr:col>11</xdr:col>
      <xdr:colOff>952502</xdr:colOff>
      <xdr:row>32</xdr:row>
      <xdr:rowOff>178594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A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77078" y="3307555"/>
              <a:ext cx="5317330" cy="30146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54769</xdr:colOff>
      <xdr:row>0</xdr:row>
      <xdr:rowOff>85725</xdr:rowOff>
    </xdr:from>
    <xdr:to>
      <xdr:col>6</xdr:col>
      <xdr:colOff>916782</xdr:colOff>
      <xdr:row>16</xdr:row>
      <xdr:rowOff>35719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CIDADE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10050" y="85725"/>
              <a:ext cx="2076450" cy="30456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90487</xdr:colOff>
      <xdr:row>0</xdr:row>
      <xdr:rowOff>0</xdr:rowOff>
    </xdr:from>
    <xdr:to>
      <xdr:col>4</xdr:col>
      <xdr:colOff>1062037</xdr:colOff>
      <xdr:row>13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EXTERNO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TE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4081" y="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1133475</xdr:colOff>
      <xdr:row>0</xdr:row>
      <xdr:rowOff>85725</xdr:rowOff>
    </xdr:from>
    <xdr:to>
      <xdr:col>8</xdr:col>
      <xdr:colOff>533400</xdr:colOff>
      <xdr:row>13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RAZAOSOCIAL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ZAOSOCI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03194" y="85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295275</xdr:colOff>
          <xdr:row>3</xdr:row>
          <xdr:rowOff>0</xdr:rowOff>
        </xdr:from>
        <xdr:to>
          <xdr:col>20</xdr:col>
          <xdr:colOff>485775</xdr:colOff>
          <xdr:row>6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266700</xdr:colOff>
      <xdr:row>0</xdr:row>
      <xdr:rowOff>0</xdr:rowOff>
    </xdr:from>
    <xdr:to>
      <xdr:col>16</xdr:col>
      <xdr:colOff>66675</xdr:colOff>
      <xdr:row>8</xdr:row>
      <xdr:rowOff>85724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" name="ULTIMACOMPRA">
              <a:extLst>
                <a:ext uri="{FF2B5EF4-FFF2-40B4-BE49-F238E27FC236}">
                  <a16:creationId xmlns:a16="http://schemas.microsoft.com/office/drawing/2014/main" id="{8330567F-A89B-4B0C-A123-90C1B542C3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ULTIMACOMPR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8000" y="0"/>
              <a:ext cx="4095750" cy="1609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200025</xdr:colOff>
      <xdr:row>8</xdr:row>
      <xdr:rowOff>114300</xdr:rowOff>
    </xdr:from>
    <xdr:to>
      <xdr:col>16</xdr:col>
      <xdr:colOff>123825</xdr:colOff>
      <xdr:row>21</xdr:row>
      <xdr:rowOff>161925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CIDADE 1">
              <a:extLst>
                <a:ext uri="{FF2B5EF4-FFF2-40B4-BE49-F238E27FC236}">
                  <a16:creationId xmlns:a16="http://schemas.microsoft.com/office/drawing/2014/main" id="{CCB79013-4132-479D-AB66-BE7E2CFD9F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72100" y="16383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28575</xdr:colOff>
      <xdr:row>8</xdr:row>
      <xdr:rowOff>152400</xdr:rowOff>
    </xdr:from>
    <xdr:to>
      <xdr:col>11</xdr:col>
      <xdr:colOff>47625</xdr:colOff>
      <xdr:row>22</xdr:row>
      <xdr:rowOff>9525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UF">
              <a:extLst>
                <a:ext uri="{FF2B5EF4-FFF2-40B4-BE49-F238E27FC236}">
                  <a16:creationId xmlns:a16="http://schemas.microsoft.com/office/drawing/2014/main" id="{5CEAD981-F4AA-4E3D-9F0B-2134659DA3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F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05150" y="16764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247650</xdr:colOff>
      <xdr:row>8</xdr:row>
      <xdr:rowOff>95250</xdr:rowOff>
    </xdr:from>
    <xdr:to>
      <xdr:col>20</xdr:col>
      <xdr:colOff>66675</xdr:colOff>
      <xdr:row>21</xdr:row>
      <xdr:rowOff>142875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ULTIMACOMPRA 1">
              <a:extLst>
                <a:ext uri="{FF2B5EF4-FFF2-40B4-BE49-F238E27FC236}">
                  <a16:creationId xmlns:a16="http://schemas.microsoft.com/office/drawing/2014/main" id="{346E3BAE-2166-47BB-B744-D2DEB6C5D0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LTIMACOMPR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24725" y="16192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17899074074" backgroundQuery="1" createdVersion="6" refreshedVersion="6" minRefreshableVersion="3" recordCount="0" supportSubquery="1" supportAdvancedDrill="1" xr:uid="{1D18B794-2296-4DF9-B4D5-ECCE3370A6C8}">
  <cacheSource type="external" connectionId="4"/>
  <cacheFields count="7">
    <cacheField name="[minhas-vendas].[CGC].[CGC]" caption="CGC" numFmtId="0" hierarchy="41" level="1">
      <sharedItems count="1">
        <s v="13004504790"/>
      </sharedItems>
    </cacheField>
    <cacheField name="[minhas-vendas].[NF].[NF]" caption="NF" numFmtId="0" hierarchy="44" level="1">
      <sharedItems count="2">
        <s v="310839"/>
        <s v="328927"/>
      </sharedItems>
    </cacheField>
    <cacheField name="[Measures].[Soma de TOTAL 2]" caption="Soma de TOTAL 2" numFmtId="0" hierarchy="55" level="32767"/>
    <cacheField name="[minhas-vendas].[RAZAOSOCIAL].[RAZAOSOCIAL]" caption="RAZAOSOCIAL" numFmtId="0" hierarchy="36" level="1">
      <sharedItems containsSemiMixedTypes="0" containsNonDate="0" containsString="0"/>
    </cacheField>
    <cacheField name="[minhas-vendas].[CIDADE].[CIDADE]" caption="CIDADE" numFmtId="0" hierarchy="37" level="1">
      <sharedItems containsSemiMixedTypes="0" containsNonDate="0" containsString="0"/>
    </cacheField>
    <cacheField name="[minhas-vendas].[DATA].[DATA]" caption="DATA" numFmtId="0" hierarchy="43" level="1">
      <sharedItems containsSemiMixedTypes="0" containsNonDate="0" containsString="0"/>
    </cacheField>
    <cacheField name="[minhas-vendas].[EXTERNO].[EXTERNO]" caption="EXTERNO" numFmtId="0" hierarchy="40" level="1">
      <sharedItems containsSemiMixedTypes="0" containsNonDate="0" containsString="0"/>
    </cacheField>
  </cacheFields>
  <cacheHierarchies count="61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2" memberValueDatatype="130" unbalanced="0">
      <fieldsUsage count="2">
        <fieldUsage x="-1"/>
        <fieldUsage x="3"/>
      </fieldsUsage>
    </cacheHierarchy>
    <cacheHierarchy uniqueName="[minhas-vendas].[CIDADE]" caption="CIDADE" attribute="1" defaultMemberUniqueName="[minhas-vendas].[CIDADE].[All]" allUniqueName="[minhas-vendas].[CIDADE].[All]" dimensionUniqueName="[minhas-vendas]" displayFolder="" count="2" memberValueDatatype="130" unbalanced="0">
      <fieldsUsage count="2">
        <fieldUsage x="-1"/>
        <fieldUsage x="4"/>
      </fieldsUsage>
    </cacheHierarchy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2" memberValueDatatype="130" unbalanced="0">
      <fieldsUsage count="2">
        <fieldUsage x="-1"/>
        <fieldUsage x="6"/>
      </fieldsUsage>
    </cacheHierarchy>
    <cacheHierarchy uniqueName="[minhas-vendas].[CGC]" caption="CGC" attribute="1" defaultMemberUniqueName="[minhas-vendas].[CGC].[All]" allUniqueName="[minhas-vendas].[CGC].[All]" dimensionUniqueName="[minhas-vendas]" displayFolder="" count="2" memberValueDatatype="130" unbalanced="0">
      <fieldsUsage count="2">
        <fieldUsage x="-1"/>
        <fieldUsage x="0"/>
      </fieldsUsage>
    </cacheHierarchy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2" memberValueDatatype="7" unbalanced="0">
      <fieldsUsage count="2">
        <fieldUsage x="-1"/>
        <fieldUsage x="5"/>
      </fieldsUsage>
    </cacheHierarchy>
    <cacheHierarchy uniqueName="[minhas-vendas].[NF]" caption="NF" attribute="1" defaultMemberUniqueName="[minhas-vendas].[NF].[All]" allUniqueName="[minhas-vendas].[NF].[All]" dimensionUniqueName="[minhas-vendas]" displayFolder="" count="2" memberValueDatatype="130" unbalanced="0">
      <fieldsUsage count="2">
        <fieldUsage x="-1"/>
        <fieldUsage x="1"/>
      </fieldsUsage>
    </cacheHierarchy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meus-clientes" uniqueName="[meus-clientes]" caption="meus-clientes"/>
    <dimension name="minhas_vendas" uniqueName="[minhas_vendas]" caption="minhas_vendas"/>
    <dimension name="minhas-vendas" uniqueName="[minhas-vendas]" caption="minhas-vendas"/>
  </dimensions>
  <measureGroups count="4">
    <measureGroup name="Intervalo" caption="Intervalo"/>
    <measureGroup name="meus-clientes" caption="meus-clientes"/>
    <measureGroup name="minhas_vendas" caption="minhas_vendas"/>
    <measureGroup name="minhas-vendas" caption="minhas-venda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27783680553" backgroundQuery="1" createdVersion="6" refreshedVersion="6" minRefreshableVersion="3" recordCount="0" supportSubquery="1" supportAdvancedDrill="1" xr:uid="{D4393717-934C-4F68-A164-1ACD159227C2}">
  <cacheSource type="external" connectionId="4"/>
  <cacheFields count="5">
    <cacheField name="[meus-clientes].[RAZAOSOCIAL].[RAZAOSOCIAL]" caption="RAZAOSOCIAL" numFmtId="0" hierarchy="12" level="1">
      <sharedItems count="4">
        <s v="FERNANDA MONTEIRO DA SILVA"/>
        <s v="LUÍS ROBERTO DE OLIVEIRA"/>
        <s v="PATRÍCIA FARIAS PARIZ"/>
        <s v="REGINALDO BARBOSA DE SOUZA"/>
      </sharedItems>
    </cacheField>
    <cacheField name="[meus-clientes].[CGC].[CGC]" caption="CGC" numFmtId="0" hierarchy="15" level="1">
      <sharedItems count="4">
        <s v="05022677636"/>
        <s v="22186227851"/>
        <s v="01843297108"/>
        <s v="60851899153"/>
      </sharedItems>
    </cacheField>
    <cacheField name="[meus-clientes].[ULTIMACOMPRA].[ULTIMACOMPRA]" caption="ULTIMACOMPRA" numFmtId="0" hierarchy="16" level="1">
      <sharedItems containsSemiMixedTypes="0" containsNonDate="0" containsDate="1" containsString="0" minDate="2024-05-28T00:00:00" maxDate="2024-07-09T00:00:00" count="4">
        <d v="2024-05-28T00:00:00"/>
        <d v="2024-07-08T00:00:00"/>
        <d v="2024-06-26T00:00:00"/>
        <d v="2024-06-28T00:00:00"/>
      </sharedItems>
    </cacheField>
    <cacheField name="[meus-clientes].[CIDADE].[CIDADE]" caption="CIDADE" numFmtId="0" hierarchy="13" level="1">
      <sharedItems containsSemiMixedTypes="0" containsNonDate="0" containsString="0"/>
    </cacheField>
    <cacheField name="[meus-clientes].[UF].[UF]" caption="UF" numFmtId="0" hierarchy="14" level="1">
      <sharedItems containsSemiMixedTypes="0" containsNonDate="0" containsString="0"/>
    </cacheField>
  </cacheFields>
  <cacheHierarchies count="61">
    <cacheHierarchy uniqueName="[Intervalo].[SITUACAO]" caption="SITUACAO" attribute="1" defaultMemberUniqueName="[Intervalo].[SITUACAO].[All]" allUniqueName="[Intervalo].[SITUACAO].[All]" dimensionUniqueName="[Intervalo]" displayFolder="" count="2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2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2" memberValueDatatype="130" unbalanced="0"/>
    <cacheHierarchy uniqueName="[Intervalo].[UF]" caption="UF" attribute="1" defaultMemberUniqueName="[Intervalo].[UF].[All]" allUniqueName="[Intervalo].[UF].[All]" dimensionUniqueName="[Intervalo]" displayFolder="" count="2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2" memberValueDatatype="130" unbalanced="0"/>
    <cacheHierarchy uniqueName="[Intervalo].[CGC]" caption="CGC" attribute="1" defaultMemberUniqueName="[Intervalo].[CGC].[All]" allUniqueName="[Intervalo].[CGC].[All]" dimensionUniqueName="[Intervalo]" displayFolder="" count="2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2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2" memberValueDatatype="7" unbalanced="0"/>
    <cacheHierarchy uniqueName="[Intervalo].[NF]" caption="NF" attribute="1" defaultMemberUniqueName="[Intervalo].[NF].[All]" allUniqueName="[Intervalo].[NF].[All]" dimensionUniqueName="[Intervalo]" displayFolder="" count="2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2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2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2" memberValueDatatype="130" unbalanced="0">
      <fieldsUsage count="2">
        <fieldUsage x="-1"/>
        <fieldUsage x="0"/>
      </fieldsUsage>
    </cacheHierarchy>
    <cacheHierarchy uniqueName="[meus-clientes].[CIDADE]" caption="CIDADE" attribute="1" defaultMemberUniqueName="[meus-clientes].[CIDADE].[All]" allUniqueName="[meus-clientes].[CIDADE].[All]" dimensionUniqueName="[meus-clientes]" displayFolder="" count="2" memberValueDatatype="130" unbalanced="0">
      <fieldsUsage count="2">
        <fieldUsage x="-1"/>
        <fieldUsage x="3"/>
      </fieldsUsage>
    </cacheHierarchy>
    <cacheHierarchy uniqueName="[meus-clientes].[UF]" caption="UF" attribute="1" defaultMemberUniqueName="[meus-clientes].[UF].[All]" allUniqueName="[meus-clientes].[UF].[All]" dimensionUniqueName="[meus-clientes]" displayFolder="" count="2" memberValueDatatype="130" unbalanced="0">
      <fieldsUsage count="2">
        <fieldUsage x="-1"/>
        <fieldUsage x="4"/>
      </fieldsUsage>
    </cacheHierarchy>
    <cacheHierarchy uniqueName="[meus-clientes].[CGC]" caption="CGC" attribute="1" defaultMemberUniqueName="[meus-clientes].[CGC].[All]" allUniqueName="[meus-clientes].[CGC].[All]" dimensionUniqueName="[meus-clientes]" displayFolder="" count="2" memberValueDatatype="130" unbalanced="0">
      <fieldsUsage count="2">
        <fieldUsage x="-1"/>
        <fieldUsage x="1"/>
      </fieldsUsage>
    </cacheHierarchy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2" memberValueDatatype="7" unbalanced="0">
      <fieldsUsage count="2">
        <fieldUsage x="-1"/>
        <fieldUsage x="2"/>
      </fieldsUsage>
    </cacheHierarchy>
    <cacheHierarchy uniqueName="[meus-clientes].[FONE]" caption="FONE" attribute="1" defaultMemberUniqueName="[meus-clientes].[FONE].[All]" allUniqueName="[meus-clientes].[FONE].[All]" dimensionUniqueName="[meus-clientes]" displayFolder="" count="2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2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2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2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2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2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2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2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2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2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2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2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2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2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2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2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2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2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2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2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2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2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2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2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2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2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2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2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2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2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2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2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meus-clientes" uniqueName="[meus-clientes]" caption="meus-clientes"/>
    <dimension name="minhas_vendas" uniqueName="[minhas_vendas]" caption="minhas_vendas"/>
    <dimension name="minhas-vendas" uniqueName="[minhas-vendas]" caption="minhas-vendas"/>
  </dimensions>
  <measureGroups count="4">
    <measureGroup name="Intervalo" caption="Intervalo"/>
    <measureGroup name="meus-clientes" caption="meus-clientes"/>
    <measureGroup name="minhas_vendas" caption="minhas_vendas"/>
    <measureGroup name="minhas-vendas" caption="minhas-venda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17893865739" backgroundQuery="1" createdVersion="3" refreshedVersion="6" minRefreshableVersion="3" recordCount="0" supportSubquery="1" supportAdvancedDrill="1" xr:uid="{B42B5290-FAE7-43B3-A41F-FAAC10C826BB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1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meus-clientes" uniqueName="[meus-clientes]" caption="meus-clientes"/>
    <dimension name="minhas_vendas" uniqueName="[minhas_vendas]" caption="minhas_vendas"/>
    <dimension name="minhas-vendas" uniqueName="[minhas-vendas]" caption="minhas-vendas"/>
  </dimensions>
  <measureGroups count="4">
    <measureGroup name="Intervalo" caption="Intervalo"/>
    <measureGroup name="meus-clientes" caption="meus-clientes"/>
    <measureGroup name="minhas_vendas" caption="minhas_vendas"/>
    <measureGroup name="minhas-vendas" caption="minhas-venda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licerData="1" pivotCacheId="1689654964"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26954282408" backgroundQuery="1" createdVersion="3" refreshedVersion="6" minRefreshableVersion="3" recordCount="0" supportSubquery="1" supportAdvancedDrill="1" xr:uid="{AB64B0B4-F6BA-4CAA-BF34-662DC9CA2A11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1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2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2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59931795"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27534027779" backgroundQuery="1" createdVersion="3" refreshedVersion="6" minRefreshableVersion="3" recordCount="0" supportSubquery="1" supportAdvancedDrill="1" xr:uid="{6B6B7B6F-CEC2-4CC5-AB7E-BA2FDEC781F1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1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2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902142242"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17895370371" backgroundQuery="1" createdVersion="3" refreshedVersion="6" minRefreshableVersion="3" recordCount="0" supportSubquery="1" supportAdvancedDrill="1" xr:uid="{02527CDC-915D-4A1D-935F-89B8F0764B25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1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meus-clientes" uniqueName="[meus-clientes]" caption="meus-clientes"/>
    <dimension name="minhas_vendas" uniqueName="[minhas_vendas]" caption="minhas_vendas"/>
    <dimension name="minhas-vendas" uniqueName="[minhas-vendas]" caption="minhas-vendas"/>
  </dimensions>
  <measureGroups count="4">
    <measureGroup name="Intervalo" caption="Intervalo"/>
    <measureGroup name="meus-clientes" caption="meus-clientes"/>
    <measureGroup name="minhas_vendas" caption="minhas_vendas"/>
    <measureGroup name="minhas-vendas" caption="minhas-venda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pivotCacheId="190746262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26955324071" backgroundQuery="1" createdVersion="3" refreshedVersion="6" minRefreshableVersion="3" recordCount="0" supportSubquery="1" supportAdvancedDrill="1" xr:uid="{0D189AD2-1FC2-43E4-A2A1-E11AB8B6094E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1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2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48400632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226D41-1046-4DC2-91A7-E2F3EB462590}" name="Tabela dinâmica4" cacheId="119" applyNumberFormats="0" applyBorderFormats="0" applyFontFormats="0" applyPatternFormats="0" applyAlignmentFormats="0" applyWidthHeightFormats="1" dataCaption="Valores" tag="9dbb4dff-8696-43ff-8112-2d7bc4008413" updatedVersion="6" minRefreshableVersion="5" useAutoFormatting="1" subtotalHiddenItems="1" itemPrintTitles="1" createdVersion="6" indent="0" compact="0" compactData="0" multipleFieldFilters="0" rowHeaderCaption="CGC">
  <location ref="A6:C10" firstHeaderRow="1" firstDataRow="1" firstDataCol="2" rowPageCount="2" colPageCount="1"/>
  <pivotFields count="7">
    <pivotField axis="axisRow" compact="0" allDrilled="1" outline="0" subtotalTop="0" showAll="0" sortType="ascending" defaultAttributeDrillState="1">
      <items count="2">
        <item x="0"/>
        <item t="default"/>
      </items>
    </pivotField>
    <pivotField axis="axisRow" compact="0" allDrilled="1" outline="0" subtotalTop="0" showAll="0" dataSourceSort="1" defaultAttributeDrillState="1">
      <items count="3">
        <item x="0"/>
        <item x="1"/>
        <item t="default"/>
      </items>
    </pivotField>
    <pivotField dataField="1" compact="0" outline="0" showAll="0" defaultSubtotal="0"/>
    <pivotField axis="axisPage" compact="0" allDrilled="1" outline="0" subtotalTop="0" showAll="0" dataSourceSort="1" defaultAttributeDrillState="1">
      <items count="1">
        <item t="default"/>
      </items>
    </pivotField>
    <pivotField axis="axisPage" compact="0" allDrilled="1" outline="0" subtotalTop="0" showAll="0" dataSourceSort="1" defaultAttributeDrillState="1">
      <items count="1">
        <item t="default"/>
      </items>
    </pivotField>
    <pivotField compact="0" allDrilled="1" outline="0" subtotalTop="0" showAll="0" dataSourceSort="1" defaultAttributeDrillState="1">
      <items count="1">
        <item t="default"/>
      </items>
    </pivotField>
    <pivotField compact="0" allDrilled="1" outline="0" subtotalTop="0" showAll="0" dataSourceSort="1" defaultAttributeDrillState="1"/>
  </pivotFields>
  <rowFields count="2">
    <field x="0"/>
    <field x="1"/>
  </rowFields>
  <rowItems count="4">
    <i>
      <x/>
      <x/>
    </i>
    <i r="1">
      <x v="1"/>
    </i>
    <i t="default">
      <x/>
    </i>
    <i t="grand">
      <x/>
    </i>
  </rowItems>
  <colItems count="1">
    <i/>
  </colItems>
  <pageFields count="2">
    <pageField fld="4" hier="37" name="[minhas-vendas].[CIDADE].[All]" cap="All"/>
    <pageField fld="3" hier="36" name="[minhas-vendas].[RAZAOSOCIAL].[All]" cap="All"/>
  </pageFields>
  <dataFields count="1">
    <dataField name="Total" fld="2" baseField="0" baseItem="0" numFmtId="164"/>
  </dataFields>
  <formats count="1">
    <format dxfId="32">
      <pivotArea dataOnly="0" labelOnly="1" outline="0" fieldPosition="0">
        <references count="1">
          <reference field="3" count="0"/>
        </references>
      </pivotArea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Total"/>
    <pivotHierarchy dragToData="1"/>
    <pivotHierarchy dragToData="1"/>
    <pivotHierarchy dragToData="1"/>
    <pivotHierarchy dragToData="1"/>
    <pivotHierarchy dragToData="1"/>
  </pivotHierarchies>
  <pivotTableStyleInfo name="PivotStyleDark2" showRowHeaders="1" showColHeaders="1" showRowStripes="1" showColStripes="0" showLastColumn="1"/>
  <filters count="1">
    <filter fld="5" type="dateBetween" evalOrder="-1" id="41" name="[minhas-vendas].[DATA]">
      <autoFilter ref="A1">
        <filterColumn colId="0">
          <customFilters and="1">
            <customFilter operator="greaterThanOrEqual" val="44562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2">
    <rowHierarchyUsage hierarchyUsage="41"/>
    <rowHierarchyUsage hierarchyUsage="4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Consulta - minhas-vendas">
        <x15:activeTabTopLevelEntity name="[minhas-vendas]"/>
      </x15:pivotTableUISettings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C8BD7D-315E-457F-A626-BAAA82DDBE7D}" name="Tabela dinâmica17" cacheId="187" applyNumberFormats="0" applyBorderFormats="0" applyFontFormats="0" applyPatternFormats="0" applyAlignmentFormats="0" applyWidthHeightFormats="1" dataCaption="Valores" tag="14250059-f7ce-4fab-b0e2-fa2e8899f817" updatedVersion="6" minRefreshableVersion="5" useAutoFormatting="1" itemPrintTitles="1" createdVersion="6" indent="0" outline="1" outlineData="1" multipleFieldFilters="0">
  <location ref="A3:A16" firstHeaderRow="1" firstDataRow="1" firstDataCol="1" rowPageCount="1" colPageCount="1"/>
  <pivotFields count="5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3">
    <field x="0"/>
    <field x="1"/>
    <field x="2"/>
  </rowFields>
  <rowItems count="13">
    <i>
      <x/>
    </i>
    <i r="1">
      <x/>
    </i>
    <i r="2">
      <x/>
    </i>
    <i>
      <x v="1"/>
    </i>
    <i r="1">
      <x v="1"/>
    </i>
    <i r="2">
      <x v="1"/>
    </i>
    <i>
      <x v="2"/>
    </i>
    <i r="1">
      <x v="2"/>
    </i>
    <i r="2">
      <x v="2"/>
    </i>
    <i>
      <x v="3"/>
    </i>
    <i r="1">
      <x v="3"/>
    </i>
    <i r="2">
      <x v="3"/>
    </i>
    <i t="grand">
      <x/>
    </i>
  </rowItems>
  <pageFields count="1">
    <pageField fld="3" hier="13" name="[meus-clientes].[CIDADE].[All]" cap="All"/>
  </pageField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meus-clientes].[UF].&amp;[M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Dark2" showRowHeaders="1" showColHeaders="1" showRowStripes="1" showColStripes="1" showLastColumn="1"/>
  <filters count="1">
    <filter fld="2" type="dateBetween" evalOrder="-1" id="2" name="[meus-clientes].[ULTIMACOMPRA]">
      <autoFilter ref="A1">
        <filterColumn colId="0">
          <customFilters and="1">
            <customFilter operator="greaterThanOrEqual" val="1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3">
    <rowHierarchyUsage hierarchyUsage="12"/>
    <rowHierarchyUsage hierarchyUsage="15"/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eus-cli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3" xr16:uid="{CBD345BC-AB9D-473A-84D0-CD974B6EF2D2}" autoFormatId="16" applyNumberFormats="0" applyBorderFormats="0" applyFontFormats="0" applyPatternFormats="0" applyAlignmentFormats="0" applyWidthHeightFormats="0">
  <queryTableRefresh nextId="14">
    <queryTableFields count="13">
      <queryTableField id="1" name="SITUACAO" tableColumnId="1"/>
      <queryTableField id="2" name="RAZAOSOCIAL" tableColumnId="2"/>
      <queryTableField id="3" name="CIDADE" tableColumnId="3"/>
      <queryTableField id="4" name="UF" tableColumnId="4"/>
      <queryTableField id="5" name="VENDEDOR" tableColumnId="5"/>
      <queryTableField id="6" name="EXTERNO" tableColumnId="6"/>
      <queryTableField id="7" name="CGC" tableColumnId="7"/>
      <queryTableField id="8" name="CODORCAMENTO" tableColumnId="8"/>
      <queryTableField id="9" name="DATA" tableColumnId="9"/>
      <queryTableField id="10" name="NF" tableColumnId="10"/>
      <queryTableField id="11" name="TOTAL" tableColumnId="11"/>
      <queryTableField id="12" name="DATA (Índice de Mês)" tableColumnId="12"/>
      <queryTableField id="13" name="DATA (Mês)" tableColumnId="13"/>
    </queryTableFields>
  </queryTableRefresh>
  <extLst>
    <ext xmlns:x15="http://schemas.microsoft.com/office/spreadsheetml/2010/11/main" uri="{883FBD77-0823-4a55-B5E3-86C4891E6966}">
      <x15:queryTable sourceDataName="Consulta - minhas-vendas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" xr10:uid="{6CE9C57F-DBF5-4FD2-AC70-4A0CD280D5E0}" sourceName="[minhas-vendas].[CIDADE]">
  <pivotTables>
    <pivotTable tabId="16" name="Tabela dinâmica4"/>
  </pivotTables>
  <data>
    <olap pivotCacheId="1689654964">
      <levels count="2">
        <level uniqueName="[minhas-vendas].[CIDADE].[(All)]" sourceCaption="(All)" count="0"/>
        <level uniqueName="[minhas-vendas].[CIDADE].[CIDADE]" sourceCaption="CIDADE" count="21">
          <ranges>
            <range startItem="0">
              <i n="[minhas-vendas].[CIDADE].&amp;[ANASTACIO]" c="ANASTACIO"/>
              <i n="[minhas-vendas].[CIDADE].&amp;[BELEM]" c="BELEM"/>
              <i n="[minhas-vendas].[CIDADE].&amp;[BOITUVA]" c="BOITUVA"/>
              <i n="[minhas-vendas].[CIDADE].&amp;[CAMPO GRANDE]" c="CAMPO GRANDE"/>
              <i n="[minhas-vendas].[CIDADE].&amp;[CONCEICAO DA BARRA]" c="CONCEICAO DA BARRA"/>
              <i n="[minhas-vendas].[CIDADE].&amp;[COXIM]" c="COXIM"/>
              <i n="[minhas-vendas].[CIDADE].&amp;[CUIABA]" c="CUIABA"/>
              <i n="[minhas-vendas].[CIDADE].&amp;[GUARACI]" c="GUARACI"/>
              <i n="[minhas-vendas].[CIDADE].&amp;[GUARANTA DO NORTE]" c="GUARANTA DO NORTE"/>
              <i n="[minhas-vendas].[CIDADE].&amp;[IGARAPE]" c="IGARAPE"/>
              <i n="[minhas-vendas].[CIDADE].&amp;[PALMAS]" c="PALMAS"/>
              <i n="[minhas-vendas].[CIDADE].&amp;[PARACATU]" c="PARACATU"/>
              <i n="[minhas-vendas].[CIDADE].&amp;[PARNAIBA]" c="PARNAIBA"/>
              <i n="[minhas-vendas].[CIDADE].&amp;[PRESIDENTE DUTRA]" c="PRESIDENTE DUTRA"/>
              <i n="[minhas-vendas].[CIDADE].&amp;[QUIRINOPOLIS]" c="QUIRINOPOLIS"/>
              <i n="[minhas-vendas].[CIDADE].&amp;[RIO DE JANEIRO]" c="RIO DE JANEIRO"/>
              <i n="[minhas-vendas].[CIDADE].&amp;[SAO CARLOS]" c="SAO CARLOS"/>
              <i n="[minhas-vendas].[CIDADE].&amp;[SAO PAULO]" c="SAO PAULO"/>
              <i n="[minhas-vendas].[CIDADE].&amp;[SEROPEDICA]" c="SEROPEDICA"/>
              <i n="[minhas-vendas].[CIDADE].&amp;[VARGEM GRANDE]" c="VARGEM GRANDE"/>
              <i n="[minhas-vendas].[CIDADE].&amp;[VICENCIA]" c="VICENCIA"/>
            </range>
          </ranges>
        </level>
      </levels>
      <selections count="1">
        <selection n="[minhas-vendas].[CIDAD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XTERNO" xr10:uid="{566F37C5-EB7D-47A9-91AA-ED01EC862CE7}" sourceName="[minhas-vendas].[EXTERNO]">
  <pivotTables>
    <pivotTable tabId="16" name="Tabela dinâmica4"/>
  </pivotTables>
  <data>
    <olap pivotCacheId="1689654964">
      <levels count="2">
        <level uniqueName="[minhas-vendas].[EXTERNO].[(All)]" sourceCaption="(All)" count="0"/>
        <level uniqueName="[minhas-vendas].[EXTERNO].[EXTERNO]" sourceCaption="EXTERNO" count="1">
          <ranges>
            <range startItem="0">
              <i n="[minhas-vendas].[EXTERNO].&amp;[E-COMMERCE]" c="E-COMMERCE"/>
            </range>
          </ranges>
        </level>
      </levels>
      <selections count="1">
        <selection n="[minhas-vendas].[EXTERNO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AZAOSOCIAL" xr10:uid="{DF3B961D-41F7-4097-B349-88E8895B864E}" sourceName="[minhas-vendas].[RAZAOSOCIAL]">
  <pivotTables>
    <pivotTable tabId="16" name="Tabela dinâmica4"/>
  </pivotTables>
  <data>
    <olap pivotCacheId="1689654964">
      <levels count="2">
        <level uniqueName="[minhas-vendas].[RAZAOSOCIAL].[(All)]" sourceCaption="(All)" count="0"/>
        <level uniqueName="[minhas-vendas].[RAZAOSOCIAL].[RAZAOSOCIAL]" sourceCaption="RAZAOSOCIAL" count="21">
          <ranges>
            <range startItem="0">
              <i n="[minhas-vendas].[RAZAOSOCIAL].&amp;[ALEX DA CUNHA CAMARGO SANTOS]" c="ALEX DA CUNHA CAMARGO SANTOS"/>
              <i n="[minhas-vendas].[RAZAOSOCIAL].&amp;[ANTONIO TOMAZ DE AQUINO AZARIAS DA SILVA]" c="ANTONIO TOMAZ DE AQUINO AZARIAS DA SILVA"/>
              <i n="[minhas-vendas].[RAZAOSOCIAL].&amp;[BRUNO CAMILO]" c="BRUNO CAMILO"/>
              <i n="[minhas-vendas].[RAZAOSOCIAL].&amp;[ERNESTO VOLANTE JUNIOR]" c="ERNESTO VOLANTE JUNIOR"/>
              <i n="[minhas-vendas].[RAZAOSOCIAL].&amp;[FERNANDA MONTEIRO DA SILVA]" c="FERNANDA MONTEIRO DA SILVA"/>
              <i n="[minhas-vendas].[RAZAOSOCIAL].&amp;[GUSTAVO HENRIQUE DE FREITAS]" c="GUSTAVO HENRIQUE DE FREITAS"/>
              <i n="[minhas-vendas].[RAZAOSOCIAL].&amp;[HELIO DE ALMEIDA MORAIS]" c="HELIO DE ALMEIDA MORAIS"/>
              <i n="[minhas-vendas].[RAZAOSOCIAL].&amp;[HUILIAM BEZERRA]" c="HUILIAM BEZERRA"/>
              <i n="[minhas-vendas].[RAZAOSOCIAL].&amp;[IGOR FIGUEIREDO CARNEIRO]" c="IGOR FIGUEIREDO CARNEIRO"/>
              <i n="[minhas-vendas].[RAZAOSOCIAL].&amp;[JAISON ANDRE SILVA BRAGA]" c="JAISON ANDRE SILVA BRAGA"/>
              <i n="[minhas-vendas].[RAZAOSOCIAL].&amp;[LEONARDO CHAVES DE SOUSA]" c="LEONARDO CHAVES DE SOUSA"/>
              <i n="[minhas-vendas].[RAZAOSOCIAL].&amp;[LUÍS ROBERTO DE OLIVEIRA]" c="LUÍS ROBERTO DE OLIVEIRA"/>
              <i n="[minhas-vendas].[RAZAOSOCIAL].&amp;[LUIZ ANTONIO DOS SANTOS]" c="LUIZ ANTONIO DOS SANTOS"/>
              <i n="[minhas-vendas].[RAZAOSOCIAL].&amp;[MARCUS R. FIGUEIREDO]" c="MARCUS R. FIGUEIREDO"/>
              <i n="[minhas-vendas].[RAZAOSOCIAL].&amp;[MARTA T. BORGES]" c="MARTA T. BORGES"/>
              <i n="[minhas-vendas].[RAZAOSOCIAL].&amp;[P M DE CONTO LTDA]" c="P M DE CONTO LTDA"/>
              <i n="[minhas-vendas].[RAZAOSOCIAL].&amp;[PATRÍCIA FARIAS PARIZ]" c="PATRÍCIA FARIAS PARIZ"/>
              <i n="[minhas-vendas].[RAZAOSOCIAL].&amp;[PRISCILLA RIBEIRO DE FREITAS MELO]" c="PRISCILLA RIBEIRO DE FREITAS MELO"/>
              <i n="[minhas-vendas].[RAZAOSOCIAL].&amp;[VANDREY PEDROZA BISPO]" c="VANDREY PEDROZA BISPO"/>
              <i n="[minhas-vendas].[RAZAOSOCIAL].&amp;[VITOR M. F. GOMES]" c="VITOR M. F. GOMES"/>
              <i n="[minhas-vendas].[RAZAOSOCIAL].&amp;[VITOR SOARES TAVARES NOTA FISCAL ELETRÔNICA]" c="VITOR SOARES TAVARES NOTA FISCAL ELETRÔNICA"/>
            </range>
          </ranges>
        </level>
      </levels>
      <selections count="1">
        <selection n="[minhas-vendas].[RAZAOSOCIAL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1" xr10:uid="{9F367B3C-0DB8-4D16-B094-12EE96433242}" sourceName="[meus-clientes].[CIDADE]">
  <pivotTables>
    <pivotTable tabId="33" name="Tabela dinâmica17"/>
  </pivotTables>
  <data>
    <olap pivotCacheId="59931795">
      <levels count="2">
        <level uniqueName="[meus-clientes].[CIDADE].[(All)]" sourceCaption="(All)" count="0"/>
        <level uniqueName="[meus-clientes].[CIDADE].[CIDADE]" sourceCaption="CIDADE" count="27">
          <ranges>
            <range startItem="0">
              <i n="[meus-clientes].[CIDADE].&amp;[ANASTACIO]" c="ANASTACIO"/>
              <i n="[meus-clientes].[CIDADE].&amp;[CAMPO GRANDE]" c="CAMPO GRANDE"/>
              <i n="[meus-clientes].[CIDADE].&amp;[COXIM]" c="COXIM"/>
              <i n="[meus-clientes].[CIDADE].&amp;[JARDIM]" c="JARDIM"/>
              <i n="[meus-clientes].[CIDADE].&amp;[BELEM]" c="BELEM" nd="1"/>
              <i n="[meus-clientes].[CIDADE].&amp;[BOITUVA]" c="BOITUVA" nd="1"/>
              <i n="[meus-clientes].[CIDADE].&amp;[CONCEICAO DA BARRA]" c="CONCEICAO DA BARRA" nd="1"/>
              <i n="[meus-clientes].[CIDADE].&amp;[CORONEL FABRICIANO]" c="CORONEL FABRICIANO" nd="1"/>
              <i n="[meus-clientes].[CIDADE].&amp;[CUIABA]" c="CUIABA" nd="1"/>
              <i n="[meus-clientes].[CIDADE].&amp;[GUARACI]" c="GUARACI" nd="1"/>
              <i n="[meus-clientes].[CIDADE].&amp;[GUARANTA DO NORTE]" c="GUARANTA DO NORTE" nd="1"/>
              <i n="[meus-clientes].[CIDADE].&amp;[IGARAPE]" c="IGARAPE" nd="1"/>
              <i n="[meus-clientes].[CIDADE].&amp;[JOINVILLE]" c="JOINVILLE" nd="1"/>
              <i n="[meus-clientes].[CIDADE].&amp;[NOVA SERRANA]" c="NOVA SERRANA" nd="1"/>
              <i n="[meus-clientes].[CIDADE].&amp;[PALMAS]" c="PALMAS" nd="1"/>
              <i n="[meus-clientes].[CIDADE].&amp;[PARACATU]" c="PARACATU" nd="1"/>
              <i n="[meus-clientes].[CIDADE].&amp;[PARNAIBA]" c="PARNAIBA" nd="1"/>
              <i n="[meus-clientes].[CIDADE].&amp;[PRESIDENTE DUTRA]" c="PRESIDENTE DUTRA" nd="1"/>
              <i n="[meus-clientes].[CIDADE].&amp;[QUIRINOPOLIS]" c="QUIRINOPOLIS" nd="1"/>
              <i n="[meus-clientes].[CIDADE].&amp;[RIO DE JANEIRO]" c="RIO DE JANEIRO" nd="1"/>
              <i n="[meus-clientes].[CIDADE].&amp;[SAO CARLOS]" c="SAO CARLOS" nd="1"/>
              <i n="[meus-clientes].[CIDADE].&amp;[SAO PAULO]" c="SAO PAULO" nd="1"/>
              <i n="[meus-clientes].[CIDADE].&amp;[SEROPEDICA]" c="SEROPEDICA" nd="1"/>
              <i n="[meus-clientes].[CIDADE].&amp;[SORRISO]" c="SORRISO" nd="1"/>
              <i n="[meus-clientes].[CIDADE].&amp;[UNAI]" c="UNAI" nd="1"/>
              <i n="[meus-clientes].[CIDADE].&amp;[VARGEM GRANDE]" c="VARGEM GRANDE" nd="1"/>
              <i n="[meus-clientes].[CIDADE].&amp;[VICENCIA]" c="VICENCIA" nd="1"/>
            </range>
          </ranges>
        </level>
      </levels>
      <selections count="1">
        <selection n="[meus-clientes].[CIDADE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F" xr10:uid="{D0E5CB9B-B46F-477B-A55E-2AFBEC90105D}" sourceName="[meus-clientes].[UF]">
  <pivotTables>
    <pivotTable tabId="33" name="Tabela dinâmica17"/>
  </pivotTables>
  <data>
    <olap pivotCacheId="59931795">
      <levels count="2">
        <level uniqueName="[meus-clientes].[UF].[(All)]" sourceCaption="(All)" count="0"/>
        <level uniqueName="[meus-clientes].[UF].[UF]" sourceCaption="UF" count="13">
          <ranges>
            <range startItem="0">
              <i n="[meus-clientes].[UF].&amp;[ES]" c="ES"/>
              <i n="[meus-clientes].[UF].&amp;[GO]" c="GO"/>
              <i n="[meus-clientes].[UF].&amp;[MA]" c="MA"/>
              <i n="[meus-clientes].[UF].&amp;[MG]" c="MG"/>
              <i n="[meus-clientes].[UF].&amp;[MS]" c="MS"/>
              <i n="[meus-clientes].[UF].&amp;[MT]" c="MT"/>
              <i n="[meus-clientes].[UF].&amp;[PA]" c="PA"/>
              <i n="[meus-clientes].[UF].&amp;[PE]" c="PE"/>
              <i n="[meus-clientes].[UF].&amp;[PI]" c="PI"/>
              <i n="[meus-clientes].[UF].&amp;[RJ]" c="RJ"/>
              <i n="[meus-clientes].[UF].&amp;[SC]" c="SC"/>
              <i n="[meus-clientes].[UF].&amp;[SP]" c="SP"/>
              <i n="[meus-clientes].[UF].&amp;[TO]" c="TO"/>
            </range>
          </ranges>
        </level>
      </levels>
      <selections count="1">
        <selection n="[meus-clientes].[UF].&amp;[MS]"/>
      </selections>
    </olap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LTIMACOMPRA" xr10:uid="{A934E19E-BB14-40CC-9DFF-81D2F46AC478}" sourceName="[meus-clientes].[ULTIMACOMPRA]">
  <pivotTables>
    <pivotTable tabId="33" name="Tabela dinâmica17"/>
  </pivotTables>
  <data>
    <olap pivotCacheId="1902142242">
      <levels count="2">
        <level uniqueName="[meus-clientes].[ULTIMACOMPRA].[(All)]" sourceCaption="(All)" count="0"/>
        <level uniqueName="[meus-clientes].[ULTIMACOMPRA].[ULTIMACOMPRA]" sourceCaption="ULTIMACOMPRA" count="20">
          <ranges>
            <range startItem="0">
              <i n="[meus-clientes].[ULTIMACOMPRA].&amp;[2024-05-28T00:00:00]" c="28/05/2024"/>
              <i n="[meus-clientes].[ULTIMACOMPRA].&amp;[2024-06-26T00:00:00]" c="26/06/2024"/>
              <i n="[meus-clientes].[ULTIMACOMPRA].&amp;[2024-06-28T00:00:00]" c="28/06/2024"/>
              <i n="[meus-clientes].[ULTIMACOMPRA].&amp;[2024-07-08T00:00:00]" c="08/07/2024"/>
              <i n="[meus-clientes].[ULTIMACOMPRA].&amp;[1990-01-01T00:00:00]" c="01/01/1990" nd="1"/>
              <i n="[meus-clientes].[ULTIMACOMPRA].&amp;[2024-05-24T00:00:00]" c="24/05/2024" nd="1"/>
              <i n="[meus-clientes].[ULTIMACOMPRA].&amp;[2024-05-27T00:00:00]" c="27/05/2024" nd="1"/>
              <i n="[meus-clientes].[ULTIMACOMPRA].&amp;[2024-05-29T00:00:00]" c="29/05/2024" nd="1"/>
              <i n="[meus-clientes].[ULTIMACOMPRA].&amp;[2024-05-31T00:00:00]" c="31/05/2024" nd="1"/>
              <i n="[meus-clientes].[ULTIMACOMPRA].&amp;[2024-06-03T00:00:00]" c="03/06/2024" nd="1"/>
              <i n="[meus-clientes].[ULTIMACOMPRA].&amp;[2024-06-05T00:00:00]" c="05/06/2024" nd="1"/>
              <i n="[meus-clientes].[ULTIMACOMPRA].&amp;[2024-06-11T00:00:00]" c="11/06/2024" nd="1"/>
              <i n="[meus-clientes].[ULTIMACOMPRA].&amp;[2024-06-12T00:00:00]" c="12/06/2024" nd="1"/>
              <i n="[meus-clientes].[ULTIMACOMPRA].&amp;[2024-06-17T00:00:00]" c="17/06/2024" nd="1"/>
              <i n="[meus-clientes].[ULTIMACOMPRA].&amp;[2024-06-18T00:00:00]" c="18/06/2024" nd="1"/>
              <i n="[meus-clientes].[ULTIMACOMPRA].&amp;[2024-06-24T00:00:00]" c="24/06/2024" nd="1"/>
              <i n="[meus-clientes].[ULTIMACOMPRA].&amp;[2024-06-25T00:00:00]" c="25/06/2024" nd="1"/>
              <i n="[meus-clientes].[ULTIMACOMPRA].&amp;[2024-07-01T00:00:00]" c="01/07/2024" nd="1"/>
              <i n="[meus-clientes].[ULTIMACOMPRA].&amp;[2024-07-03T00:00:00]" c="03/07/2024" nd="1"/>
              <i n="[meus-clientes].[ULTIMACOMPRA].&amp;[2024-07-04T00:00:00]" c="04/07/2024" nd="1"/>
            </range>
          </ranges>
        </level>
      </levels>
      <selections count="1">
        <selection n="[meus-clientes].[ULTIMACOMPRA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DADE" xr10:uid="{2959D245-EAC7-4DCF-841F-97DA5E0B88A2}" cache="SegmentaçãodeDados_CIDADE" caption="CIDADE" level="1" rowHeight="241300"/>
  <slicer name="EXTERNO" xr10:uid="{9573876D-53D9-421B-A1E9-48CA29CF98E8}" cache="SegmentaçãodeDados_EXTERNO" caption="EXTERNO" level="1" rowHeight="241300"/>
  <slicer name="RAZAOSOCIAL" xr10:uid="{C132CD73-95F6-4E5A-8844-2384B1335757}" cache="SegmentaçãodeDados_RAZAOSOCIAL" caption="RAZAOSOCIAL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DADE 1" xr10:uid="{32BAF8F5-2167-4403-8452-AB3B67C1FF28}" cache="SegmentaçãodeDados_CIDADE1" caption="CIDADE" level="1" rowHeight="241300"/>
  <slicer name="UF" xr10:uid="{15F5FBBB-CF37-4ED4-B7FE-B14E26C9305C}" cache="SegmentaçãodeDados_UF" caption="UF" level="1" rowHeight="241300"/>
  <slicer name="ULTIMACOMPRA 1" xr10:uid="{E2BE3393-3D8C-4522-986D-414EA5B4B0EF}" cache="SegmentaçãodeDados_ULTIMACOMPRA" caption="ULTIMACOMPRA" level="1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3054B7-CBA6-436A-9CE9-CFBE0E9AE63B}" name="meus_clientes" displayName="meus_clientes" ref="A1:H28" totalsRowShown="0" headerRowDxfId="34" dataDxfId="33">
  <autoFilter ref="A1:H28" xr:uid="{30FBC4BA-8DAC-4E76-A272-0FB989465C6F}"/>
  <sortState ref="A2:H28">
    <sortCondition ref="F1:F28"/>
  </sortState>
  <tableColumns count="8">
    <tableColumn id="1" xr3:uid="{DCAC9579-D889-46DA-9A7A-90F773CD1179}" name="SITUACAO" dataDxfId="29"/>
    <tableColumn id="2" xr3:uid="{CBF2C3A7-1C91-4169-B70D-802C8B0AD1F5}" name="RAZAOSOCIAL" dataDxfId="28"/>
    <tableColumn id="3" xr3:uid="{2A530EDC-B5FA-4065-899D-A0B4CDEA9EDC}" name="CIDADE" dataDxfId="27"/>
    <tableColumn id="4" xr3:uid="{B583D081-7BDB-4D8E-9F65-909CAC8FC2B3}" name="UF" dataDxfId="26"/>
    <tableColumn id="5" xr3:uid="{5A60817C-2A87-46CF-B879-960E52BF2FFD}" name="CGC" dataDxfId="25"/>
    <tableColumn id="6" xr3:uid="{B4446899-1534-42B6-A278-790C9403D5D0}" name="ULTIMACOMPRA" dataDxfId="24"/>
    <tableColumn id="7" xr3:uid="{AAE319E2-2EF1-4687-9868-2CC0B9FD0EF1}" name="FONE" dataDxfId="23"/>
    <tableColumn id="8" xr3:uid="{12F36053-DB34-4745-96DA-B2A93B045643}" name="EMAIL" dataDxfId="22"/>
  </tableColumns>
  <tableStyleInfo name="TableStyleMedium9" showFirstColumn="1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5C8619-B05F-4CEC-87C7-2FD1DB84B238}" name="minhas_vendas" displayName="minhas_vendas" ref="A1:M25" tableType="queryTable" totalsRowCount="1" headerRowDxfId="31" dataDxfId="30">
  <autoFilter ref="A1:M24" xr:uid="{03FA08F9-01CB-4791-8B83-8E2E07B6B4B1}"/>
  <tableColumns count="13">
    <tableColumn id="1" xr3:uid="{61D38335-7714-42CD-B540-9483382CD32E}" uniqueName="1" name="SITUACAO" totalsRowLabel="Total" queryTableFieldId="1" dataDxfId="10" totalsRowDxfId="11"/>
    <tableColumn id="2" xr3:uid="{9BA349AC-CE38-437A-B01E-63EE4814AA91}" uniqueName="2" name="RAZAOSOCIAL" queryTableFieldId="2" dataDxfId="9" totalsRowDxfId="12"/>
    <tableColumn id="3" xr3:uid="{07E36E79-5F04-4AAB-829F-564F6342E56E}" uniqueName="3" name="CIDADE" queryTableFieldId="3" dataDxfId="8" totalsRowDxfId="13"/>
    <tableColumn id="4" xr3:uid="{D40C9599-40FE-4BC4-84EA-71752B211415}" uniqueName="4" name="UF" queryTableFieldId="4" dataDxfId="7" totalsRowDxfId="14"/>
    <tableColumn id="5" xr3:uid="{324E8D4C-44E9-4B45-B915-2A494E1B6FCD}" uniqueName="5" name="VENDEDOR" queryTableFieldId="5" dataDxfId="6" totalsRowDxfId="15"/>
    <tableColumn id="6" xr3:uid="{28E77E0A-31DC-4876-BCB2-71FFB8C1C7CC}" uniqueName="6" name="EXTERNO" queryTableFieldId="6" dataDxfId="5" totalsRowDxfId="16"/>
    <tableColumn id="7" xr3:uid="{7E847AD4-9741-4F0D-B8C1-90B04F0A0200}" uniqueName="7" name="CGC" queryTableFieldId="7" dataDxfId="4" totalsRowDxfId="17"/>
    <tableColumn id="8" xr3:uid="{FC6E3D95-3E57-40EF-9B34-B0270E83250D}" uniqueName="8" name="CODORCAMENTO" queryTableFieldId="8" dataDxfId="3" totalsRowDxfId="18"/>
    <tableColumn id="9" xr3:uid="{5DCECBB7-DB5F-45A7-A8EE-B2D4AC2A3613}" uniqueName="9" name="DATA" queryTableFieldId="9" dataDxfId="2" totalsRowDxfId="19"/>
    <tableColumn id="10" xr3:uid="{548181D9-F0B2-43D3-99B2-56E4175FA446}" uniqueName="10" name="NF" queryTableFieldId="10" dataDxfId="1" totalsRowDxfId="20"/>
    <tableColumn id="11" xr3:uid="{A6EF9DF5-EFCF-40EA-BD6D-F4A365DD092A}" uniqueName="11" name="TOTAL" totalsRowFunction="sum" queryTableFieldId="11" dataDxfId="0" totalsRowDxfId="21"/>
    <tableColumn id="12" xr3:uid="{9F932B08-E84D-4D28-AD2A-35E54CBE1008}" uniqueName="12" name="DATA (Índice de Mês)" queryTableFieldId="12"/>
    <tableColumn id="13" xr3:uid="{F6CE0A36-62E4-41E7-800A-A9C5F72DD269}" uniqueName="13" name="DATA (Mês)" queryTableFieldId="1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A" xr10:uid="{636FEE01-FBD8-4281-9D1F-A0138B774EFA}" sourceName="[minhas-vendas].[DATA]">
  <pivotTables>
    <pivotTable tabId="16" name="Tabela dinâmica4"/>
  </pivotTables>
  <state minimalRefreshVersion="6" lastRefreshVersion="6" pivotCacheId="1907462628" filterType="dateBetween">
    <selection startDate="2022-01-01T00:00:00" endDate="2022-12-31T00:00:00"/>
    <bounds startDate="2022-01-01T00:00:00" endDate="2025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ULTIMACOMPRA" xr10:uid="{B93BB10D-2529-4CDB-8566-ECB2443DE2C3}" sourceName="[meus-clientes].[ULTIMACOMPRA]">
  <pivotTables>
    <pivotTable tabId="33" name="Tabela dinâmica17"/>
  </pivotTables>
  <state minimalRefreshVersion="6" lastRefreshVersion="6" pivotCacheId="484006327" filterType="dateBetween">
    <selection startDate="1899-12-31T00:00:00" endDate="2024-12-31T00:00:00"/>
    <bounds startDate="1990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39A69E41-3009-4561-8355-734D33796F99}" cache="Timeline_DATA" caption="DATA" level="0" selectionLevel="0" scrollPosition="2022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ULTIMACOMPRA" xr10:uid="{79BBDA87-F297-4857-BD13-2ED78AD282DA}" cache="Timeline_ULTIMACOMPRA" caption="ULTIMACOMPRA" level="2" selectionLevel="0" scrollPosition="2024-05-19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5" Type="http://schemas.microsoft.com/office/2011/relationships/timeline" Target="../timelines/timeline2.xml"/><Relationship Id="rId4" Type="http://schemas.microsoft.com/office/2007/relationships/slicer" Target="../slicers/slicer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9EF87-D205-47A0-93C5-0F2DADBAB945}">
  <sheetPr codeName="Planilha2"/>
  <dimension ref="A1:H28"/>
  <sheetViews>
    <sheetView zoomScale="42" zoomScaleNormal="70" workbookViewId="0">
      <selection sqref="A1:H28"/>
    </sheetView>
  </sheetViews>
  <sheetFormatPr defaultRowHeight="18.75" x14ac:dyDescent="0.3"/>
  <cols>
    <col min="1" max="1" width="33.42578125" style="1" bestFit="1" customWidth="1"/>
    <col min="2" max="2" width="78.42578125" style="1" bestFit="1" customWidth="1"/>
    <col min="3" max="3" width="36.140625" style="1" bestFit="1" customWidth="1"/>
    <col min="4" max="4" width="18.5703125" style="1" bestFit="1" customWidth="1"/>
    <col min="5" max="5" width="25.28515625" style="1" bestFit="1" customWidth="1"/>
    <col min="6" max="6" width="46.42578125" style="3" bestFit="1" customWidth="1"/>
    <col min="7" max="7" width="25.7109375" style="1" bestFit="1" customWidth="1"/>
    <col min="8" max="8" width="41.5703125" style="1" bestFit="1" customWidth="1"/>
    <col min="9" max="9" width="11.42578125" style="1" customWidth="1"/>
    <col min="10" max="10" width="9.140625" style="1"/>
    <col min="11" max="11" width="12.28515625" style="1" customWidth="1"/>
    <col min="12" max="16384" width="9.140625" style="1"/>
  </cols>
  <sheetData>
    <row r="1" spans="1:8" s="2" customFormat="1" ht="2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9" t="s">
        <v>5</v>
      </c>
      <c r="G1" s="2" t="s">
        <v>6</v>
      </c>
      <c r="H1" s="2" t="s">
        <v>7</v>
      </c>
    </row>
    <row r="2" spans="1:8" x14ac:dyDescent="0.3">
      <c r="A2" s="1" t="s">
        <v>8</v>
      </c>
      <c r="B2" s="1" t="s">
        <v>36</v>
      </c>
      <c r="C2" s="1" t="s">
        <v>37</v>
      </c>
      <c r="D2" s="1" t="s">
        <v>38</v>
      </c>
      <c r="E2" s="1" t="s">
        <v>39</v>
      </c>
      <c r="F2" s="3">
        <v>32874</v>
      </c>
      <c r="G2" s="1" t="s">
        <v>9</v>
      </c>
      <c r="H2" s="1" t="s">
        <v>10</v>
      </c>
    </row>
    <row r="3" spans="1:8" x14ac:dyDescent="0.3">
      <c r="A3" s="1" t="s">
        <v>8</v>
      </c>
      <c r="B3" s="1" t="s">
        <v>40</v>
      </c>
      <c r="C3" s="1" t="s">
        <v>41</v>
      </c>
      <c r="D3" s="1" t="s">
        <v>42</v>
      </c>
      <c r="E3" s="1" t="s">
        <v>43</v>
      </c>
      <c r="F3" s="3">
        <v>32874</v>
      </c>
      <c r="G3" s="1" t="s">
        <v>9</v>
      </c>
      <c r="H3" s="1" t="s">
        <v>10</v>
      </c>
    </row>
    <row r="4" spans="1:8" x14ac:dyDescent="0.3">
      <c r="A4" s="1" t="s">
        <v>8</v>
      </c>
      <c r="B4" s="1" t="s">
        <v>44</v>
      </c>
      <c r="C4" s="1" t="s">
        <v>45</v>
      </c>
      <c r="D4" s="1" t="s">
        <v>38</v>
      </c>
      <c r="E4" s="1" t="s">
        <v>46</v>
      </c>
      <c r="F4" s="3">
        <v>32874</v>
      </c>
      <c r="G4" s="1" t="s">
        <v>9</v>
      </c>
      <c r="H4" s="1" t="s">
        <v>10</v>
      </c>
    </row>
    <row r="5" spans="1:8" x14ac:dyDescent="0.3">
      <c r="A5" s="1" t="s">
        <v>8</v>
      </c>
      <c r="B5" s="1" t="s">
        <v>47</v>
      </c>
      <c r="C5" s="1" t="s">
        <v>48</v>
      </c>
      <c r="D5" s="1" t="s">
        <v>11</v>
      </c>
      <c r="E5" s="1" t="s">
        <v>49</v>
      </c>
      <c r="F5" s="3">
        <v>45436</v>
      </c>
      <c r="G5" s="1" t="s">
        <v>9</v>
      </c>
      <c r="H5" s="1" t="s">
        <v>10</v>
      </c>
    </row>
    <row r="6" spans="1:8" x14ac:dyDescent="0.3">
      <c r="A6" s="1" t="s">
        <v>8</v>
      </c>
      <c r="B6" s="1" t="s">
        <v>50</v>
      </c>
      <c r="C6" s="1" t="s">
        <v>51</v>
      </c>
      <c r="D6" s="1" t="s">
        <v>38</v>
      </c>
      <c r="E6" s="1" t="s">
        <v>52</v>
      </c>
      <c r="F6" s="3">
        <v>45439</v>
      </c>
      <c r="G6" s="1" t="s">
        <v>9</v>
      </c>
      <c r="H6" s="1" t="s">
        <v>10</v>
      </c>
    </row>
    <row r="7" spans="1:8" x14ac:dyDescent="0.3">
      <c r="A7" s="1" t="s">
        <v>8</v>
      </c>
      <c r="B7" s="1" t="s">
        <v>53</v>
      </c>
      <c r="C7" s="1" t="s">
        <v>54</v>
      </c>
      <c r="D7" s="1" t="s">
        <v>38</v>
      </c>
      <c r="E7" s="1" t="s">
        <v>55</v>
      </c>
      <c r="F7" s="3">
        <v>45439</v>
      </c>
      <c r="G7" s="1" t="s">
        <v>9</v>
      </c>
      <c r="H7" s="1" t="s">
        <v>10</v>
      </c>
    </row>
    <row r="8" spans="1:8" x14ac:dyDescent="0.3">
      <c r="A8" s="1" t="s">
        <v>8</v>
      </c>
      <c r="B8" s="1" t="s">
        <v>56</v>
      </c>
      <c r="C8" s="1" t="s">
        <v>57</v>
      </c>
      <c r="D8" s="1" t="s">
        <v>12</v>
      </c>
      <c r="E8" s="1" t="s">
        <v>58</v>
      </c>
      <c r="F8" s="3">
        <v>45440</v>
      </c>
      <c r="G8" s="1" t="s">
        <v>9</v>
      </c>
      <c r="H8" s="1" t="s">
        <v>10</v>
      </c>
    </row>
    <row r="9" spans="1:8" x14ac:dyDescent="0.3">
      <c r="A9" s="1" t="s">
        <v>8</v>
      </c>
      <c r="B9" s="1" t="s">
        <v>59</v>
      </c>
      <c r="C9" s="1" t="s">
        <v>60</v>
      </c>
      <c r="D9" s="1" t="s">
        <v>13</v>
      </c>
      <c r="E9" s="1" t="s">
        <v>61</v>
      </c>
      <c r="F9" s="3">
        <v>45441</v>
      </c>
      <c r="G9" s="1" t="s">
        <v>9</v>
      </c>
      <c r="H9" s="1" t="s">
        <v>10</v>
      </c>
    </row>
    <row r="10" spans="1:8" x14ac:dyDescent="0.3">
      <c r="A10" s="1" t="s">
        <v>8</v>
      </c>
      <c r="B10" s="1" t="s">
        <v>62</v>
      </c>
      <c r="C10" s="1" t="s">
        <v>63</v>
      </c>
      <c r="D10" s="1" t="s">
        <v>64</v>
      </c>
      <c r="E10" s="1" t="s">
        <v>65</v>
      </c>
      <c r="F10" s="3">
        <v>45441</v>
      </c>
      <c r="G10" s="1" t="s">
        <v>9</v>
      </c>
      <c r="H10" s="1" t="s">
        <v>10</v>
      </c>
    </row>
    <row r="11" spans="1:8" x14ac:dyDescent="0.3">
      <c r="A11" s="1" t="s">
        <v>8</v>
      </c>
      <c r="B11" s="1" t="s">
        <v>66</v>
      </c>
      <c r="C11" s="1" t="s">
        <v>14</v>
      </c>
      <c r="D11" s="1" t="s">
        <v>13</v>
      </c>
      <c r="E11" s="1" t="s">
        <v>67</v>
      </c>
      <c r="F11" s="3">
        <v>45443</v>
      </c>
      <c r="G11" s="1" t="s">
        <v>9</v>
      </c>
      <c r="H11" s="1" t="s">
        <v>10</v>
      </c>
    </row>
    <row r="12" spans="1:8" x14ac:dyDescent="0.3">
      <c r="A12" s="1" t="s">
        <v>8</v>
      </c>
      <c r="B12" s="1" t="s">
        <v>68</v>
      </c>
      <c r="C12" s="1" t="s">
        <v>15</v>
      </c>
      <c r="D12" s="1" t="s">
        <v>11</v>
      </c>
      <c r="E12" s="1" t="s">
        <v>69</v>
      </c>
      <c r="F12" s="3">
        <v>45446</v>
      </c>
      <c r="G12" s="1" t="s">
        <v>70</v>
      </c>
      <c r="H12" s="1" t="s">
        <v>10</v>
      </c>
    </row>
    <row r="13" spans="1:8" x14ac:dyDescent="0.3">
      <c r="A13" s="1" t="s">
        <v>8</v>
      </c>
      <c r="B13" s="1" t="s">
        <v>71</v>
      </c>
      <c r="C13" s="1" t="s">
        <v>72</v>
      </c>
      <c r="D13" s="1" t="s">
        <v>73</v>
      </c>
      <c r="E13" s="1" t="s">
        <v>74</v>
      </c>
      <c r="F13" s="3">
        <v>45448</v>
      </c>
      <c r="G13" s="1" t="s">
        <v>9</v>
      </c>
      <c r="H13" s="1" t="s">
        <v>10</v>
      </c>
    </row>
    <row r="14" spans="1:8" x14ac:dyDescent="0.3">
      <c r="A14" s="1" t="s">
        <v>8</v>
      </c>
      <c r="B14" s="1" t="s">
        <v>75</v>
      </c>
      <c r="C14" s="1" t="s">
        <v>76</v>
      </c>
      <c r="D14" s="1" t="s">
        <v>77</v>
      </c>
      <c r="E14" s="1" t="s">
        <v>78</v>
      </c>
      <c r="F14" s="3">
        <v>45454</v>
      </c>
      <c r="G14" s="1" t="s">
        <v>9</v>
      </c>
      <c r="H14" s="1" t="s">
        <v>10</v>
      </c>
    </row>
    <row r="15" spans="1:8" x14ac:dyDescent="0.3">
      <c r="A15" s="1" t="s">
        <v>8</v>
      </c>
      <c r="B15" s="1" t="s">
        <v>79</v>
      </c>
      <c r="C15" s="1" t="s">
        <v>16</v>
      </c>
      <c r="D15" s="1" t="s">
        <v>13</v>
      </c>
      <c r="E15" s="1" t="s">
        <v>80</v>
      </c>
      <c r="F15" s="3">
        <v>45454</v>
      </c>
      <c r="G15" s="1" t="s">
        <v>9</v>
      </c>
      <c r="H15" s="1" t="s">
        <v>10</v>
      </c>
    </row>
    <row r="16" spans="1:8" x14ac:dyDescent="0.3">
      <c r="A16" s="1" t="s">
        <v>8</v>
      </c>
      <c r="B16" s="1" t="s">
        <v>81</v>
      </c>
      <c r="C16" s="1" t="s">
        <v>82</v>
      </c>
      <c r="D16" s="1" t="s">
        <v>42</v>
      </c>
      <c r="E16" s="1" t="s">
        <v>83</v>
      </c>
      <c r="F16" s="3">
        <v>45454</v>
      </c>
      <c r="G16" s="1" t="s">
        <v>9</v>
      </c>
      <c r="H16" s="1" t="s">
        <v>10</v>
      </c>
    </row>
    <row r="17" spans="1:8" x14ac:dyDescent="0.3">
      <c r="A17" s="1" t="s">
        <v>8</v>
      </c>
      <c r="B17" s="1" t="s">
        <v>84</v>
      </c>
      <c r="C17" s="1" t="s">
        <v>85</v>
      </c>
      <c r="D17" s="1" t="s">
        <v>38</v>
      </c>
      <c r="E17" s="1" t="s">
        <v>86</v>
      </c>
      <c r="F17" s="3">
        <v>45455</v>
      </c>
      <c r="G17" s="1" t="s">
        <v>87</v>
      </c>
      <c r="H17" s="1" t="s">
        <v>88</v>
      </c>
    </row>
    <row r="18" spans="1:8" x14ac:dyDescent="0.3">
      <c r="A18" s="1" t="s">
        <v>8</v>
      </c>
      <c r="B18" s="1" t="s">
        <v>89</v>
      </c>
      <c r="C18" s="1" t="s">
        <v>90</v>
      </c>
      <c r="D18" s="1" t="s">
        <v>17</v>
      </c>
      <c r="E18" s="1" t="s">
        <v>91</v>
      </c>
      <c r="F18" s="3">
        <v>45460</v>
      </c>
      <c r="G18" s="1" t="s">
        <v>9</v>
      </c>
      <c r="H18" s="1" t="s">
        <v>10</v>
      </c>
    </row>
    <row r="19" spans="1:8" x14ac:dyDescent="0.3">
      <c r="A19" s="1" t="s">
        <v>8</v>
      </c>
      <c r="B19" s="1" t="s">
        <v>92</v>
      </c>
      <c r="C19" s="1" t="s">
        <v>93</v>
      </c>
      <c r="D19" s="1" t="s">
        <v>42</v>
      </c>
      <c r="E19" s="1" t="s">
        <v>94</v>
      </c>
      <c r="F19" s="3">
        <v>45461</v>
      </c>
      <c r="G19" s="1" t="s">
        <v>9</v>
      </c>
      <c r="H19" s="1" t="s">
        <v>10</v>
      </c>
    </row>
    <row r="20" spans="1:8" x14ac:dyDescent="0.3">
      <c r="A20" s="1" t="s">
        <v>8</v>
      </c>
      <c r="B20" s="1" t="s">
        <v>95</v>
      </c>
      <c r="C20" s="1" t="s">
        <v>96</v>
      </c>
      <c r="D20" s="1" t="s">
        <v>18</v>
      </c>
      <c r="E20" s="1" t="s">
        <v>97</v>
      </c>
      <c r="F20" s="3">
        <v>45467</v>
      </c>
      <c r="G20" s="1" t="s">
        <v>9</v>
      </c>
      <c r="H20" s="1" t="s">
        <v>10</v>
      </c>
    </row>
    <row r="21" spans="1:8" x14ac:dyDescent="0.3">
      <c r="A21" s="1" t="s">
        <v>8</v>
      </c>
      <c r="B21" s="1" t="s">
        <v>98</v>
      </c>
      <c r="C21" s="1" t="s">
        <v>19</v>
      </c>
      <c r="D21" s="1" t="s">
        <v>13</v>
      </c>
      <c r="E21" s="1" t="s">
        <v>99</v>
      </c>
      <c r="F21" s="3">
        <v>45468</v>
      </c>
      <c r="G21" s="1" t="s">
        <v>100</v>
      </c>
      <c r="H21" s="1" t="s">
        <v>10</v>
      </c>
    </row>
    <row r="22" spans="1:8" x14ac:dyDescent="0.3">
      <c r="A22" s="1" t="s">
        <v>8</v>
      </c>
      <c r="B22" s="1" t="s">
        <v>101</v>
      </c>
      <c r="C22" s="1" t="s">
        <v>102</v>
      </c>
      <c r="D22" s="1" t="s">
        <v>103</v>
      </c>
      <c r="E22" s="1" t="s">
        <v>104</v>
      </c>
      <c r="F22" s="3">
        <v>45469</v>
      </c>
      <c r="G22" s="1" t="s">
        <v>9</v>
      </c>
      <c r="H22" s="1" t="s">
        <v>10</v>
      </c>
    </row>
    <row r="23" spans="1:8" x14ac:dyDescent="0.3">
      <c r="A23" s="1" t="s">
        <v>8</v>
      </c>
      <c r="B23" s="1" t="s">
        <v>105</v>
      </c>
      <c r="C23" s="1" t="s">
        <v>106</v>
      </c>
      <c r="D23" s="1" t="s">
        <v>12</v>
      </c>
      <c r="E23" s="1" t="s">
        <v>107</v>
      </c>
      <c r="F23" s="3">
        <v>45469</v>
      </c>
      <c r="G23" s="1" t="s">
        <v>9</v>
      </c>
      <c r="H23" s="1" t="s">
        <v>10</v>
      </c>
    </row>
    <row r="24" spans="1:8" x14ac:dyDescent="0.3">
      <c r="A24" s="1" t="s">
        <v>8</v>
      </c>
      <c r="B24" s="1" t="s">
        <v>108</v>
      </c>
      <c r="C24" s="1" t="s">
        <v>109</v>
      </c>
      <c r="D24" s="1" t="s">
        <v>12</v>
      </c>
      <c r="E24" s="1" t="s">
        <v>110</v>
      </c>
      <c r="F24" s="3">
        <v>45471</v>
      </c>
      <c r="G24" s="1" t="s">
        <v>111</v>
      </c>
      <c r="H24" s="1" t="s">
        <v>112</v>
      </c>
    </row>
    <row r="25" spans="1:8" x14ac:dyDescent="0.3">
      <c r="A25" s="1" t="s">
        <v>8</v>
      </c>
      <c r="B25" s="1" t="s">
        <v>113</v>
      </c>
      <c r="C25" s="1" t="s">
        <v>114</v>
      </c>
      <c r="D25" s="1" t="s">
        <v>115</v>
      </c>
      <c r="E25" s="1" t="s">
        <v>116</v>
      </c>
      <c r="F25" s="3">
        <v>45474</v>
      </c>
      <c r="G25" s="1" t="s">
        <v>9</v>
      </c>
      <c r="H25" s="1" t="s">
        <v>10</v>
      </c>
    </row>
    <row r="26" spans="1:8" x14ac:dyDescent="0.3">
      <c r="A26" s="1" t="s">
        <v>20</v>
      </c>
      <c r="B26" s="1" t="s">
        <v>117</v>
      </c>
      <c r="C26" s="1" t="s">
        <v>118</v>
      </c>
      <c r="D26" s="1" t="s">
        <v>119</v>
      </c>
      <c r="E26" s="1" t="s">
        <v>120</v>
      </c>
      <c r="F26" s="3">
        <v>45476</v>
      </c>
      <c r="G26" s="1" t="s">
        <v>121</v>
      </c>
      <c r="H26" s="1" t="s">
        <v>122</v>
      </c>
    </row>
    <row r="27" spans="1:8" x14ac:dyDescent="0.3">
      <c r="A27" s="1" t="s">
        <v>8</v>
      </c>
      <c r="B27" s="1" t="s">
        <v>123</v>
      </c>
      <c r="C27" s="1" t="s">
        <v>124</v>
      </c>
      <c r="D27" s="1" t="s">
        <v>115</v>
      </c>
      <c r="E27" s="1" t="s">
        <v>125</v>
      </c>
      <c r="F27" s="3">
        <v>45477</v>
      </c>
      <c r="G27" s="1" t="s">
        <v>9</v>
      </c>
      <c r="H27" s="1" t="s">
        <v>10</v>
      </c>
    </row>
    <row r="28" spans="1:8" x14ac:dyDescent="0.3">
      <c r="A28" s="1" t="s">
        <v>8</v>
      </c>
      <c r="B28" s="1" t="s">
        <v>126</v>
      </c>
      <c r="C28" s="1" t="s">
        <v>127</v>
      </c>
      <c r="D28" s="1" t="s">
        <v>12</v>
      </c>
      <c r="E28" s="1" t="s">
        <v>128</v>
      </c>
      <c r="F28" s="3">
        <v>45481</v>
      </c>
      <c r="G28" s="1" t="s">
        <v>9</v>
      </c>
      <c r="H28" s="1" t="s">
        <v>10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nge_path_clientes">
                <anchor moveWithCells="1" sizeWithCells="1">
                  <from>
                    <xdr:col>8</xdr:col>
                    <xdr:colOff>180975</xdr:colOff>
                    <xdr:row>0</xdr:row>
                    <xdr:rowOff>0</xdr:rowOff>
                  </from>
                  <to>
                    <xdr:col>13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E01BC-8FD5-4B68-81E8-0E7CDFCDC699}">
  <sheetPr codeName="Planilha1"/>
  <dimension ref="A3:C10"/>
  <sheetViews>
    <sheetView zoomScale="80" zoomScaleNormal="80" workbookViewId="0">
      <selection activeCell="A3" sqref="A3"/>
    </sheetView>
  </sheetViews>
  <sheetFormatPr defaultColWidth="44.140625" defaultRowHeight="15" x14ac:dyDescent="0.25"/>
  <cols>
    <col min="1" max="1" width="18.7109375" bestFit="1" customWidth="1"/>
    <col min="2" max="2" width="7.7109375" bestFit="1" customWidth="1"/>
    <col min="3" max="3" width="10" bestFit="1" customWidth="1"/>
    <col min="4" max="4" width="12.85546875" bestFit="1" customWidth="1"/>
    <col min="5" max="32" width="18.28515625" bestFit="1" customWidth="1"/>
    <col min="33" max="33" width="12.85546875" bestFit="1" customWidth="1"/>
    <col min="34" max="34" width="24.7109375" bestFit="1" customWidth="1"/>
  </cols>
  <sheetData>
    <row r="3" spans="1:3" ht="15.75" thickBot="1" x14ac:dyDescent="0.3">
      <c r="A3" s="5" t="s">
        <v>2</v>
      </c>
      <c r="B3" t="s" vm="2">
        <v>30</v>
      </c>
    </row>
    <row r="4" spans="1:3" ht="16.5" thickTop="1" thickBot="1" x14ac:dyDescent="0.3">
      <c r="A4" s="5" t="s">
        <v>1</v>
      </c>
      <c r="B4" s="8" t="s" vm="1">
        <v>30</v>
      </c>
    </row>
    <row r="5" spans="1:3" ht="15.75" thickTop="1" x14ac:dyDescent="0.25"/>
    <row r="6" spans="1:3" x14ac:dyDescent="0.25">
      <c r="A6" s="5" t="s">
        <v>4</v>
      </c>
      <c r="B6" s="5" t="s">
        <v>25</v>
      </c>
      <c r="C6" t="s">
        <v>27</v>
      </c>
    </row>
    <row r="7" spans="1:3" x14ac:dyDescent="0.25">
      <c r="A7" t="s">
        <v>69</v>
      </c>
      <c r="B7" t="s">
        <v>177</v>
      </c>
      <c r="C7" s="10">
        <v>70</v>
      </c>
    </row>
    <row r="8" spans="1:3" x14ac:dyDescent="0.25">
      <c r="B8" t="s">
        <v>174</v>
      </c>
      <c r="C8" s="10">
        <v>120</v>
      </c>
    </row>
    <row r="9" spans="1:3" x14ac:dyDescent="0.25">
      <c r="A9" t="s">
        <v>178</v>
      </c>
      <c r="C9" s="10">
        <v>190</v>
      </c>
    </row>
    <row r="10" spans="1:3" x14ac:dyDescent="0.25">
      <c r="A10" t="s">
        <v>29</v>
      </c>
      <c r="C10" s="10">
        <v>190</v>
      </c>
    </row>
  </sheetData>
  <autoFilter ref="A1:B22" xr:uid="{56996DB7-AE3B-4DF0-9A2B-94475D71659F}"/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D2189-1DF0-4C85-B096-5E73BBC5664D}">
  <sheetPr codeName="Planilha4"/>
  <dimension ref="A1:M25"/>
  <sheetViews>
    <sheetView zoomScale="59" zoomScaleNormal="59" workbookViewId="0">
      <selection sqref="A1:M25"/>
    </sheetView>
  </sheetViews>
  <sheetFormatPr defaultRowHeight="15" x14ac:dyDescent="0.25"/>
  <cols>
    <col min="1" max="1" width="22.7109375" bestFit="1" customWidth="1"/>
    <col min="2" max="2" width="59.42578125" bestFit="1" customWidth="1"/>
    <col min="3" max="3" width="27.140625" bestFit="1" customWidth="1"/>
    <col min="4" max="4" width="12.7109375" bestFit="1" customWidth="1"/>
    <col min="5" max="5" width="24.28515625" bestFit="1" customWidth="1"/>
    <col min="6" max="6" width="21.42578125" bestFit="1" customWidth="1"/>
    <col min="7" max="7" width="22.42578125" bestFit="1" customWidth="1"/>
    <col min="8" max="8" width="33.140625" bestFit="1" customWidth="1"/>
    <col min="9" max="9" width="16.5703125" bestFit="1" customWidth="1"/>
    <col min="10" max="10" width="13" bestFit="1" customWidth="1"/>
    <col min="11" max="11" width="17.85546875" bestFit="1" customWidth="1"/>
    <col min="12" max="12" width="33.85546875" bestFit="1" customWidth="1"/>
    <col min="13" max="13" width="21.42578125" bestFit="1" customWidth="1"/>
  </cols>
  <sheetData>
    <row r="1" spans="1:13" s="2" customFormat="1" ht="2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21</v>
      </c>
      <c r="F1" s="2" t="s">
        <v>22</v>
      </c>
      <c r="G1" s="2" t="s">
        <v>4</v>
      </c>
      <c r="H1" s="2" t="s">
        <v>23</v>
      </c>
      <c r="I1" s="2" t="s">
        <v>24</v>
      </c>
      <c r="J1" s="2" t="s">
        <v>25</v>
      </c>
      <c r="K1" s="2" t="s">
        <v>26</v>
      </c>
      <c r="L1" t="s">
        <v>31</v>
      </c>
      <c r="M1" t="s">
        <v>32</v>
      </c>
    </row>
    <row r="2" spans="1:13" ht="18.75" x14ac:dyDescent="0.3">
      <c r="A2" s="1" t="s">
        <v>8</v>
      </c>
      <c r="B2" s="1" t="s">
        <v>126</v>
      </c>
      <c r="C2" s="1" t="s">
        <v>127</v>
      </c>
      <c r="D2" s="1" t="s">
        <v>12</v>
      </c>
      <c r="E2" s="1" t="s">
        <v>129</v>
      </c>
      <c r="F2" s="1" t="s">
        <v>130</v>
      </c>
      <c r="G2" s="1" t="s">
        <v>128</v>
      </c>
      <c r="H2" s="1" t="s">
        <v>131</v>
      </c>
      <c r="I2" s="3">
        <v>45481</v>
      </c>
      <c r="J2" s="1" t="s">
        <v>132</v>
      </c>
      <c r="K2" s="4">
        <v>292</v>
      </c>
      <c r="L2">
        <v>7</v>
      </c>
      <c r="M2" t="s">
        <v>33</v>
      </c>
    </row>
    <row r="3" spans="1:13" ht="18.75" x14ac:dyDescent="0.3">
      <c r="A3" s="1" t="s">
        <v>8</v>
      </c>
      <c r="B3" s="1" t="s">
        <v>123</v>
      </c>
      <c r="C3" s="1" t="s">
        <v>124</v>
      </c>
      <c r="D3" s="1" t="s">
        <v>115</v>
      </c>
      <c r="E3" s="1" t="s">
        <v>129</v>
      </c>
      <c r="F3" s="1" t="s">
        <v>130</v>
      </c>
      <c r="G3" s="1" t="s">
        <v>125</v>
      </c>
      <c r="H3" s="1" t="s">
        <v>133</v>
      </c>
      <c r="I3" s="3">
        <v>45477</v>
      </c>
      <c r="J3" s="1" t="s">
        <v>134</v>
      </c>
      <c r="K3" s="4">
        <v>100</v>
      </c>
      <c r="L3">
        <v>7</v>
      </c>
      <c r="M3" t="s">
        <v>33</v>
      </c>
    </row>
    <row r="4" spans="1:13" ht="18.75" x14ac:dyDescent="0.3">
      <c r="A4" s="1" t="s">
        <v>8</v>
      </c>
      <c r="B4" s="1" t="s">
        <v>113</v>
      </c>
      <c r="C4" s="1" t="s">
        <v>114</v>
      </c>
      <c r="D4" s="1" t="s">
        <v>115</v>
      </c>
      <c r="E4" s="1" t="s">
        <v>129</v>
      </c>
      <c r="F4" s="1" t="s">
        <v>130</v>
      </c>
      <c r="G4" s="1" t="s">
        <v>116</v>
      </c>
      <c r="H4" s="1" t="s">
        <v>135</v>
      </c>
      <c r="I4" s="3">
        <v>45474</v>
      </c>
      <c r="J4" s="1" t="s">
        <v>136</v>
      </c>
      <c r="K4" s="4">
        <v>1150</v>
      </c>
      <c r="L4">
        <v>7</v>
      </c>
      <c r="M4" t="s">
        <v>33</v>
      </c>
    </row>
    <row r="5" spans="1:13" ht="18.75" x14ac:dyDescent="0.3">
      <c r="A5" s="1" t="s">
        <v>8</v>
      </c>
      <c r="B5" s="1" t="s">
        <v>105</v>
      </c>
      <c r="C5" s="1" t="s">
        <v>106</v>
      </c>
      <c r="D5" s="1" t="s">
        <v>12</v>
      </c>
      <c r="E5" s="1" t="s">
        <v>129</v>
      </c>
      <c r="F5" s="1" t="s">
        <v>130</v>
      </c>
      <c r="G5" s="1" t="s">
        <v>107</v>
      </c>
      <c r="H5" s="1" t="s">
        <v>137</v>
      </c>
      <c r="I5" s="3">
        <v>45469</v>
      </c>
      <c r="J5" s="1" t="s">
        <v>138</v>
      </c>
      <c r="K5" s="4">
        <v>189.9</v>
      </c>
      <c r="L5">
        <v>6</v>
      </c>
      <c r="M5" t="s">
        <v>34</v>
      </c>
    </row>
    <row r="6" spans="1:13" ht="18.75" x14ac:dyDescent="0.3">
      <c r="A6" s="1" t="s">
        <v>8</v>
      </c>
      <c r="B6" s="1" t="s">
        <v>101</v>
      </c>
      <c r="C6" s="1" t="s">
        <v>102</v>
      </c>
      <c r="D6" s="1" t="s">
        <v>103</v>
      </c>
      <c r="E6" s="1" t="s">
        <v>129</v>
      </c>
      <c r="F6" s="1" t="s">
        <v>130</v>
      </c>
      <c r="G6" s="1" t="s">
        <v>104</v>
      </c>
      <c r="H6" s="1" t="s">
        <v>139</v>
      </c>
      <c r="I6" s="3">
        <v>45469</v>
      </c>
      <c r="J6" s="1" t="s">
        <v>140</v>
      </c>
      <c r="K6" s="4">
        <v>749.9</v>
      </c>
      <c r="L6">
        <v>6</v>
      </c>
      <c r="M6" t="s">
        <v>34</v>
      </c>
    </row>
    <row r="7" spans="1:13" ht="18.75" x14ac:dyDescent="0.3">
      <c r="A7" s="1" t="s">
        <v>8</v>
      </c>
      <c r="B7" s="1" t="s">
        <v>98</v>
      </c>
      <c r="C7" s="1" t="s">
        <v>19</v>
      </c>
      <c r="D7" s="1" t="s">
        <v>13</v>
      </c>
      <c r="E7" s="1" t="s">
        <v>129</v>
      </c>
      <c r="F7" s="1" t="s">
        <v>130</v>
      </c>
      <c r="G7" s="1" t="s">
        <v>99</v>
      </c>
      <c r="H7" s="1" t="s">
        <v>141</v>
      </c>
      <c r="I7" s="3">
        <v>45468</v>
      </c>
      <c r="J7" s="1" t="s">
        <v>142</v>
      </c>
      <c r="K7" s="4">
        <v>505</v>
      </c>
      <c r="L7">
        <v>6</v>
      </c>
      <c r="M7" t="s">
        <v>34</v>
      </c>
    </row>
    <row r="8" spans="1:13" ht="18.75" x14ac:dyDescent="0.3">
      <c r="A8" s="1" t="s">
        <v>8</v>
      </c>
      <c r="B8" s="1" t="s">
        <v>95</v>
      </c>
      <c r="C8" s="1" t="s">
        <v>96</v>
      </c>
      <c r="D8" s="1" t="s">
        <v>18</v>
      </c>
      <c r="E8" s="1" t="s">
        <v>129</v>
      </c>
      <c r="F8" s="1" t="s">
        <v>130</v>
      </c>
      <c r="G8" s="1" t="s">
        <v>97</v>
      </c>
      <c r="H8" s="1" t="s">
        <v>143</v>
      </c>
      <c r="I8" s="3">
        <v>45467</v>
      </c>
      <c r="J8" s="1" t="s">
        <v>144</v>
      </c>
      <c r="K8" s="4">
        <v>360</v>
      </c>
      <c r="L8">
        <v>6</v>
      </c>
      <c r="M8" t="s">
        <v>34</v>
      </c>
    </row>
    <row r="9" spans="1:13" ht="18.75" x14ac:dyDescent="0.3">
      <c r="A9" s="1" t="s">
        <v>8</v>
      </c>
      <c r="B9" s="1" t="s">
        <v>92</v>
      </c>
      <c r="C9" s="1" t="s">
        <v>93</v>
      </c>
      <c r="D9" s="1" t="s">
        <v>42</v>
      </c>
      <c r="E9" s="1" t="s">
        <v>129</v>
      </c>
      <c r="F9" s="1" t="s">
        <v>130</v>
      </c>
      <c r="G9" s="1" t="s">
        <v>94</v>
      </c>
      <c r="H9" s="1" t="s">
        <v>145</v>
      </c>
      <c r="I9" s="3">
        <v>45461</v>
      </c>
      <c r="J9" s="1" t="s">
        <v>146</v>
      </c>
      <c r="K9" s="4">
        <v>219.99</v>
      </c>
      <c r="L9">
        <v>6</v>
      </c>
      <c r="M9" t="s">
        <v>34</v>
      </c>
    </row>
    <row r="10" spans="1:13" ht="18.75" x14ac:dyDescent="0.3">
      <c r="A10" s="1" t="s">
        <v>8</v>
      </c>
      <c r="B10" s="1" t="s">
        <v>89</v>
      </c>
      <c r="C10" s="1" t="s">
        <v>90</v>
      </c>
      <c r="D10" s="1" t="s">
        <v>17</v>
      </c>
      <c r="E10" s="1" t="s">
        <v>129</v>
      </c>
      <c r="F10" s="1" t="s">
        <v>130</v>
      </c>
      <c r="G10" s="1" t="s">
        <v>91</v>
      </c>
      <c r="H10" s="1" t="s">
        <v>147</v>
      </c>
      <c r="I10" s="3">
        <v>45460</v>
      </c>
      <c r="J10" s="1" t="s">
        <v>148</v>
      </c>
      <c r="K10" s="4">
        <v>85</v>
      </c>
      <c r="L10">
        <v>6</v>
      </c>
      <c r="M10" t="s">
        <v>34</v>
      </c>
    </row>
    <row r="11" spans="1:13" ht="18.75" x14ac:dyDescent="0.3">
      <c r="A11" s="1" t="s">
        <v>8</v>
      </c>
      <c r="B11" s="1" t="s">
        <v>79</v>
      </c>
      <c r="C11" s="1" t="s">
        <v>16</v>
      </c>
      <c r="D11" s="1" t="s">
        <v>13</v>
      </c>
      <c r="E11" s="1" t="s">
        <v>129</v>
      </c>
      <c r="F11" s="1" t="s">
        <v>130</v>
      </c>
      <c r="G11" s="1" t="s">
        <v>80</v>
      </c>
      <c r="H11" s="1" t="s">
        <v>149</v>
      </c>
      <c r="I11" s="3">
        <v>45454</v>
      </c>
      <c r="J11" s="1" t="s">
        <v>150</v>
      </c>
      <c r="K11" s="4">
        <v>80</v>
      </c>
      <c r="L11">
        <v>6</v>
      </c>
      <c r="M11" t="s">
        <v>34</v>
      </c>
    </row>
    <row r="12" spans="1:13" ht="18.75" x14ac:dyDescent="0.3">
      <c r="A12" s="1" t="s">
        <v>8</v>
      </c>
      <c r="B12" s="1" t="s">
        <v>81</v>
      </c>
      <c r="C12" s="1" t="s">
        <v>82</v>
      </c>
      <c r="D12" s="1" t="s">
        <v>42</v>
      </c>
      <c r="E12" s="1" t="s">
        <v>129</v>
      </c>
      <c r="F12" s="1" t="s">
        <v>130</v>
      </c>
      <c r="G12" s="1" t="s">
        <v>83</v>
      </c>
      <c r="H12" s="1" t="s">
        <v>151</v>
      </c>
      <c r="I12" s="3">
        <v>45454</v>
      </c>
      <c r="J12" s="1" t="s">
        <v>152</v>
      </c>
      <c r="K12" s="4">
        <v>260</v>
      </c>
      <c r="L12">
        <v>6</v>
      </c>
      <c r="M12" t="s">
        <v>34</v>
      </c>
    </row>
    <row r="13" spans="1:13" ht="18.75" x14ac:dyDescent="0.3">
      <c r="A13" s="1" t="s">
        <v>8</v>
      </c>
      <c r="B13" s="1" t="s">
        <v>75</v>
      </c>
      <c r="C13" s="1" t="s">
        <v>76</v>
      </c>
      <c r="D13" s="1" t="s">
        <v>77</v>
      </c>
      <c r="E13" s="1" t="s">
        <v>129</v>
      </c>
      <c r="F13" s="1" t="s">
        <v>130</v>
      </c>
      <c r="G13" s="1" t="s">
        <v>78</v>
      </c>
      <c r="H13" s="1" t="s">
        <v>153</v>
      </c>
      <c r="I13" s="3">
        <v>45454</v>
      </c>
      <c r="J13" s="1" t="s">
        <v>154</v>
      </c>
      <c r="K13" s="4">
        <v>145</v>
      </c>
      <c r="L13">
        <v>6</v>
      </c>
      <c r="M13" t="s">
        <v>34</v>
      </c>
    </row>
    <row r="14" spans="1:13" ht="18.75" x14ac:dyDescent="0.3">
      <c r="A14" s="1" t="s">
        <v>8</v>
      </c>
      <c r="B14" s="1" t="s">
        <v>71</v>
      </c>
      <c r="C14" s="1" t="s">
        <v>72</v>
      </c>
      <c r="D14" s="1" t="s">
        <v>73</v>
      </c>
      <c r="E14" s="1" t="s">
        <v>129</v>
      </c>
      <c r="F14" s="1" t="s">
        <v>130</v>
      </c>
      <c r="G14" s="1" t="s">
        <v>74</v>
      </c>
      <c r="H14" s="1" t="s">
        <v>155</v>
      </c>
      <c r="I14" s="3">
        <v>45448</v>
      </c>
      <c r="J14" s="1" t="s">
        <v>156</v>
      </c>
      <c r="K14" s="4">
        <v>88</v>
      </c>
      <c r="L14">
        <v>6</v>
      </c>
      <c r="M14" t="s">
        <v>34</v>
      </c>
    </row>
    <row r="15" spans="1:13" ht="18.75" x14ac:dyDescent="0.3">
      <c r="A15" s="1" t="s">
        <v>8</v>
      </c>
      <c r="B15" s="1" t="s">
        <v>68</v>
      </c>
      <c r="C15" s="1" t="s">
        <v>15</v>
      </c>
      <c r="D15" s="1" t="s">
        <v>11</v>
      </c>
      <c r="E15" s="1" t="s">
        <v>129</v>
      </c>
      <c r="F15" s="1" t="s">
        <v>130</v>
      </c>
      <c r="G15" s="1" t="s">
        <v>69</v>
      </c>
      <c r="H15" s="1" t="s">
        <v>157</v>
      </c>
      <c r="I15" s="3">
        <v>45446</v>
      </c>
      <c r="J15" s="1" t="s">
        <v>158</v>
      </c>
      <c r="K15" s="4">
        <v>116</v>
      </c>
      <c r="L15">
        <v>6</v>
      </c>
      <c r="M15" t="s">
        <v>34</v>
      </c>
    </row>
    <row r="16" spans="1:13" ht="18.75" x14ac:dyDescent="0.3">
      <c r="A16" s="1" t="s">
        <v>8</v>
      </c>
      <c r="B16" s="1" t="s">
        <v>66</v>
      </c>
      <c r="C16" s="1" t="s">
        <v>14</v>
      </c>
      <c r="D16" s="1" t="s">
        <v>13</v>
      </c>
      <c r="E16" s="1" t="s">
        <v>129</v>
      </c>
      <c r="F16" s="1" t="s">
        <v>130</v>
      </c>
      <c r="G16" s="1" t="s">
        <v>67</v>
      </c>
      <c r="H16" s="1" t="s">
        <v>159</v>
      </c>
      <c r="I16" s="3">
        <v>45443</v>
      </c>
      <c r="J16" s="1" t="s">
        <v>160</v>
      </c>
      <c r="K16" s="4">
        <v>640</v>
      </c>
      <c r="L16">
        <v>5</v>
      </c>
      <c r="M16" t="s">
        <v>35</v>
      </c>
    </row>
    <row r="17" spans="1:13" ht="18.75" x14ac:dyDescent="0.3">
      <c r="A17" s="1" t="s">
        <v>8</v>
      </c>
      <c r="B17" s="1" t="s">
        <v>62</v>
      </c>
      <c r="C17" s="1" t="s">
        <v>63</v>
      </c>
      <c r="D17" s="1" t="s">
        <v>64</v>
      </c>
      <c r="E17" s="1" t="s">
        <v>129</v>
      </c>
      <c r="F17" s="1" t="s">
        <v>130</v>
      </c>
      <c r="G17" s="1" t="s">
        <v>65</v>
      </c>
      <c r="H17" s="1" t="s">
        <v>161</v>
      </c>
      <c r="I17" s="3">
        <v>45441</v>
      </c>
      <c r="J17" s="1" t="s">
        <v>162</v>
      </c>
      <c r="K17" s="4">
        <v>262</v>
      </c>
      <c r="L17">
        <v>5</v>
      </c>
      <c r="M17" t="s">
        <v>35</v>
      </c>
    </row>
    <row r="18" spans="1:13" ht="18.75" x14ac:dyDescent="0.3">
      <c r="A18" s="1" t="s">
        <v>8</v>
      </c>
      <c r="B18" s="1" t="s">
        <v>59</v>
      </c>
      <c r="C18" s="1" t="s">
        <v>60</v>
      </c>
      <c r="D18" s="1" t="s">
        <v>13</v>
      </c>
      <c r="E18" s="1" t="s">
        <v>129</v>
      </c>
      <c r="F18" s="1" t="s">
        <v>130</v>
      </c>
      <c r="G18" s="1" t="s">
        <v>61</v>
      </c>
      <c r="H18" s="1" t="s">
        <v>163</v>
      </c>
      <c r="I18" s="3">
        <v>45441</v>
      </c>
      <c r="J18" s="1" t="s">
        <v>164</v>
      </c>
      <c r="K18" s="4">
        <v>252</v>
      </c>
      <c r="L18">
        <v>5</v>
      </c>
      <c r="M18" t="s">
        <v>35</v>
      </c>
    </row>
    <row r="19" spans="1:13" ht="18.75" x14ac:dyDescent="0.3">
      <c r="A19" s="1" t="s">
        <v>8</v>
      </c>
      <c r="B19" s="1" t="s">
        <v>56</v>
      </c>
      <c r="C19" s="1" t="s">
        <v>57</v>
      </c>
      <c r="D19" s="1" t="s">
        <v>12</v>
      </c>
      <c r="E19" s="1" t="s">
        <v>129</v>
      </c>
      <c r="F19" s="1" t="s">
        <v>130</v>
      </c>
      <c r="G19" s="1" t="s">
        <v>58</v>
      </c>
      <c r="H19" s="1" t="s">
        <v>165</v>
      </c>
      <c r="I19" s="3">
        <v>45440</v>
      </c>
      <c r="J19" s="1" t="s">
        <v>166</v>
      </c>
      <c r="K19" s="4">
        <v>124.99</v>
      </c>
      <c r="L19">
        <v>5</v>
      </c>
      <c r="M19" t="s">
        <v>35</v>
      </c>
    </row>
    <row r="20" spans="1:13" ht="18.75" x14ac:dyDescent="0.3">
      <c r="A20" s="1" t="s">
        <v>8</v>
      </c>
      <c r="B20" s="1" t="s">
        <v>53</v>
      </c>
      <c r="C20" s="1" t="s">
        <v>54</v>
      </c>
      <c r="D20" s="1" t="s">
        <v>38</v>
      </c>
      <c r="E20" s="1" t="s">
        <v>129</v>
      </c>
      <c r="F20" s="1" t="s">
        <v>130</v>
      </c>
      <c r="G20" s="1" t="s">
        <v>55</v>
      </c>
      <c r="H20" s="1" t="s">
        <v>167</v>
      </c>
      <c r="I20" s="3">
        <v>45439</v>
      </c>
      <c r="J20" s="1" t="s">
        <v>168</v>
      </c>
      <c r="K20" s="4">
        <v>199.9</v>
      </c>
      <c r="L20">
        <v>5</v>
      </c>
      <c r="M20" t="s">
        <v>35</v>
      </c>
    </row>
    <row r="21" spans="1:13" ht="18.75" x14ac:dyDescent="0.3">
      <c r="A21" s="1" t="s">
        <v>8</v>
      </c>
      <c r="B21" s="1" t="s">
        <v>50</v>
      </c>
      <c r="C21" s="1" t="s">
        <v>51</v>
      </c>
      <c r="D21" s="1" t="s">
        <v>38</v>
      </c>
      <c r="E21" s="1" t="s">
        <v>129</v>
      </c>
      <c r="F21" s="1" t="s">
        <v>130</v>
      </c>
      <c r="G21" s="1" t="s">
        <v>52</v>
      </c>
      <c r="H21" s="1" t="s">
        <v>169</v>
      </c>
      <c r="I21" s="3">
        <v>45439</v>
      </c>
      <c r="J21" s="1" t="s">
        <v>170</v>
      </c>
      <c r="K21" s="4">
        <v>124.99</v>
      </c>
      <c r="L21">
        <v>5</v>
      </c>
      <c r="M21" t="s">
        <v>35</v>
      </c>
    </row>
    <row r="22" spans="1:13" ht="18.75" x14ac:dyDescent="0.3">
      <c r="A22" s="1" t="s">
        <v>8</v>
      </c>
      <c r="B22" s="1" t="s">
        <v>47</v>
      </c>
      <c r="C22" s="1" t="s">
        <v>48</v>
      </c>
      <c r="D22" s="1" t="s">
        <v>11</v>
      </c>
      <c r="E22" s="1" t="s">
        <v>129</v>
      </c>
      <c r="F22" s="1" t="s">
        <v>130</v>
      </c>
      <c r="G22" s="1" t="s">
        <v>49</v>
      </c>
      <c r="H22" s="1" t="s">
        <v>171</v>
      </c>
      <c r="I22" s="3">
        <v>45436</v>
      </c>
      <c r="J22" s="1" t="s">
        <v>172</v>
      </c>
      <c r="K22" s="4">
        <v>293</v>
      </c>
      <c r="L22">
        <v>5</v>
      </c>
      <c r="M22" t="s">
        <v>35</v>
      </c>
    </row>
    <row r="23" spans="1:13" ht="18.75" x14ac:dyDescent="0.3">
      <c r="A23" s="1" t="s">
        <v>8</v>
      </c>
      <c r="B23" s="1" t="s">
        <v>68</v>
      </c>
      <c r="C23" s="1" t="s">
        <v>15</v>
      </c>
      <c r="D23" s="1" t="s">
        <v>11</v>
      </c>
      <c r="E23" s="1" t="s">
        <v>129</v>
      </c>
      <c r="F23" s="1" t="s">
        <v>130</v>
      </c>
      <c r="G23" s="1" t="s">
        <v>69</v>
      </c>
      <c r="H23" s="1" t="s">
        <v>173</v>
      </c>
      <c r="I23" s="3">
        <v>44916</v>
      </c>
      <c r="J23" s="1" t="s">
        <v>174</v>
      </c>
      <c r="K23" s="4">
        <v>120</v>
      </c>
      <c r="L23">
        <v>12</v>
      </c>
      <c r="M23" t="s">
        <v>175</v>
      </c>
    </row>
    <row r="24" spans="1:13" ht="18.75" x14ac:dyDescent="0.3">
      <c r="A24" s="1" t="s">
        <v>8</v>
      </c>
      <c r="B24" s="1" t="s">
        <v>68</v>
      </c>
      <c r="C24" s="1" t="s">
        <v>15</v>
      </c>
      <c r="D24" s="1" t="s">
        <v>11</v>
      </c>
      <c r="E24" s="1" t="s">
        <v>129</v>
      </c>
      <c r="F24" s="1" t="s">
        <v>130</v>
      </c>
      <c r="G24" s="1" t="s">
        <v>69</v>
      </c>
      <c r="H24" s="1" t="s">
        <v>176</v>
      </c>
      <c r="I24" s="3">
        <v>44750</v>
      </c>
      <c r="J24" s="1" t="s">
        <v>177</v>
      </c>
      <c r="K24" s="4">
        <v>70</v>
      </c>
      <c r="L24">
        <v>7</v>
      </c>
      <c r="M24" t="s">
        <v>33</v>
      </c>
    </row>
    <row r="25" spans="1:13" ht="18.75" x14ac:dyDescent="0.3">
      <c r="A25" s="1" t="s">
        <v>27</v>
      </c>
      <c r="B25" s="1"/>
      <c r="C25" s="1"/>
      <c r="D25" s="1"/>
      <c r="E25" s="1"/>
      <c r="F25" s="1"/>
      <c r="G25" s="1"/>
      <c r="H25" s="1"/>
      <c r="I25" s="1"/>
      <c r="J25" s="1"/>
      <c r="K25" s="4">
        <f>SUBTOTAL(109,minhas_vendas[TOTAL])</f>
        <v>6427.6699999999992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hange_path_vendas">
                <anchor moveWithCells="1" sizeWithCells="1">
                  <from>
                    <xdr:col>15</xdr:col>
                    <xdr:colOff>295275</xdr:colOff>
                    <xdr:row>3</xdr:row>
                    <xdr:rowOff>0</xdr:rowOff>
                  </from>
                  <to>
                    <xdr:col>20</xdr:col>
                    <xdr:colOff>485775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AB130-5EE9-4912-A4C5-8E9680B2E206}">
  <sheetPr codeName="Planilha3"/>
  <dimension ref="A1"/>
  <sheetViews>
    <sheetView workbookViewId="0">
      <selection activeCell="K19" sqref="K1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E3C72-20EB-4326-B6A1-CEBAC07E1A84}">
  <sheetPr codeName="Planilha11"/>
  <dimension ref="A1:B16"/>
  <sheetViews>
    <sheetView tabSelected="1" topLeftCell="A7" workbookViewId="0">
      <selection activeCell="A9" sqref="A9"/>
    </sheetView>
  </sheetViews>
  <sheetFormatPr defaultRowHeight="15" x14ac:dyDescent="0.25"/>
  <cols>
    <col min="1" max="1" width="32.140625" bestFit="1" customWidth="1"/>
    <col min="2" max="2" width="5.7109375" bestFit="1" customWidth="1"/>
    <col min="3" max="3" width="3.85546875" bestFit="1" customWidth="1"/>
    <col min="4" max="4" width="4.42578125" bestFit="1" customWidth="1"/>
    <col min="5" max="5" width="3.85546875" bestFit="1" customWidth="1"/>
    <col min="6" max="6" width="4.28515625" bestFit="1" customWidth="1"/>
    <col min="7" max="7" width="3.85546875" bestFit="1" customWidth="1"/>
    <col min="8" max="8" width="3.28515625" bestFit="1" customWidth="1"/>
    <col min="9" max="9" width="4.140625" bestFit="1" customWidth="1"/>
    <col min="10" max="10" width="3.7109375" bestFit="1" customWidth="1"/>
    <col min="11" max="11" width="4" bestFit="1" customWidth="1"/>
    <col min="12" max="12" width="4.28515625" bestFit="1" customWidth="1"/>
    <col min="13" max="13" width="4.140625" bestFit="1" customWidth="1"/>
    <col min="14" max="14" width="10.7109375" bestFit="1" customWidth="1"/>
    <col min="15" max="18" width="6.85546875" bestFit="1" customWidth="1"/>
    <col min="19" max="19" width="10.7109375" bestFit="1" customWidth="1"/>
    <col min="20" max="20" width="5.7109375" bestFit="1" customWidth="1"/>
    <col min="21" max="21" width="6.28515625" bestFit="1" customWidth="1"/>
    <col min="22" max="22" width="8.42578125" bestFit="1" customWidth="1"/>
    <col min="23" max="23" width="6.140625" bestFit="1" customWidth="1"/>
    <col min="24" max="24" width="5.7109375" bestFit="1" customWidth="1"/>
    <col min="25" max="25" width="8.42578125" bestFit="1" customWidth="1"/>
    <col min="26" max="26" width="6" bestFit="1" customWidth="1"/>
    <col min="27" max="27" width="5.5703125" bestFit="1" customWidth="1"/>
    <col min="28" max="28" width="8.42578125" bestFit="1" customWidth="1"/>
    <col min="29" max="29" width="6.140625" bestFit="1" customWidth="1"/>
    <col min="30" max="30" width="6" bestFit="1" customWidth="1"/>
    <col min="31" max="31" width="8.42578125" bestFit="1" customWidth="1"/>
    <col min="32" max="32" width="5.7109375" bestFit="1" customWidth="1"/>
    <col min="33" max="33" width="6.28515625" bestFit="1" customWidth="1"/>
    <col min="34" max="34" width="8.42578125" bestFit="1" customWidth="1"/>
    <col min="35" max="35" width="6.140625" bestFit="1" customWidth="1"/>
    <col min="36" max="36" width="5.7109375" bestFit="1" customWidth="1"/>
    <col min="37" max="37" width="8.42578125" bestFit="1" customWidth="1"/>
    <col min="38" max="38" width="6" bestFit="1" customWidth="1"/>
    <col min="39" max="39" width="5.5703125" bestFit="1" customWidth="1"/>
    <col min="40" max="40" width="8.42578125" bestFit="1" customWidth="1"/>
    <col min="41" max="41" width="6.140625" bestFit="1" customWidth="1"/>
    <col min="42" max="42" width="6" bestFit="1" customWidth="1"/>
    <col min="43" max="43" width="8.42578125" bestFit="1" customWidth="1"/>
    <col min="44" max="44" width="5.7109375" bestFit="1" customWidth="1"/>
    <col min="45" max="45" width="6.28515625" bestFit="1" customWidth="1"/>
    <col min="46" max="46" width="8.42578125" bestFit="1" customWidth="1"/>
    <col min="47" max="47" width="6.140625" bestFit="1" customWidth="1"/>
    <col min="48" max="48" width="5.7109375" bestFit="1" customWidth="1"/>
    <col min="49" max="49" width="8.42578125" bestFit="1" customWidth="1"/>
    <col min="50" max="50" width="6" bestFit="1" customWidth="1"/>
    <col min="51" max="51" width="5.5703125" bestFit="1" customWidth="1"/>
    <col min="52" max="52" width="8.42578125" bestFit="1" customWidth="1"/>
    <col min="53" max="53" width="6.140625" bestFit="1" customWidth="1"/>
    <col min="54" max="54" width="6" bestFit="1" customWidth="1"/>
    <col min="55" max="55" width="8.42578125" bestFit="1" customWidth="1"/>
    <col min="56" max="56" width="5.7109375" bestFit="1" customWidth="1"/>
    <col min="57" max="57" width="6.28515625" bestFit="1" customWidth="1"/>
    <col min="58" max="58" width="8.42578125" bestFit="1" customWidth="1"/>
    <col min="59" max="59" width="6.140625" bestFit="1" customWidth="1"/>
    <col min="60" max="60" width="5.7109375" bestFit="1" customWidth="1"/>
    <col min="61" max="61" width="8.42578125" bestFit="1" customWidth="1"/>
    <col min="62" max="62" width="6" bestFit="1" customWidth="1"/>
    <col min="63" max="63" width="5.5703125" bestFit="1" customWidth="1"/>
    <col min="64" max="64" width="8.42578125" bestFit="1" customWidth="1"/>
    <col min="65" max="65" width="6" bestFit="1" customWidth="1"/>
    <col min="66" max="66" width="8.42578125" bestFit="1" customWidth="1"/>
    <col min="67" max="67" width="5.7109375" bestFit="1" customWidth="1"/>
    <col min="68" max="68" width="6.28515625" bestFit="1" customWidth="1"/>
    <col min="69" max="69" width="8.42578125" bestFit="1" customWidth="1"/>
    <col min="70" max="70" width="6.140625" bestFit="1" customWidth="1"/>
    <col min="71" max="71" width="5.7109375" bestFit="1" customWidth="1"/>
    <col min="72" max="72" width="8.42578125" bestFit="1" customWidth="1"/>
    <col min="73" max="73" width="6" bestFit="1" customWidth="1"/>
    <col min="74" max="74" width="5.5703125" bestFit="1" customWidth="1"/>
    <col min="75" max="75" width="8.42578125" bestFit="1" customWidth="1"/>
    <col min="76" max="76" width="6.140625" bestFit="1" customWidth="1"/>
    <col min="77" max="77" width="6" bestFit="1" customWidth="1"/>
    <col min="78" max="78" width="8.42578125" bestFit="1" customWidth="1"/>
    <col min="79" max="79" width="5.7109375" bestFit="1" customWidth="1"/>
    <col min="80" max="80" width="6.28515625" bestFit="1" customWidth="1"/>
    <col min="81" max="81" width="8.42578125" bestFit="1" customWidth="1"/>
    <col min="82" max="82" width="6.140625" bestFit="1" customWidth="1"/>
    <col min="83" max="83" width="5.7109375" bestFit="1" customWidth="1"/>
    <col min="84" max="84" width="8.42578125" bestFit="1" customWidth="1"/>
    <col min="85" max="85" width="5.5703125" bestFit="1" customWidth="1"/>
    <col min="86" max="86" width="8.42578125" bestFit="1" customWidth="1"/>
    <col min="87" max="87" width="6.140625" bestFit="1" customWidth="1"/>
    <col min="88" max="88" width="6" bestFit="1" customWidth="1"/>
    <col min="89" max="89" width="8.42578125" bestFit="1" customWidth="1"/>
    <col min="90" max="90" width="5.7109375" bestFit="1" customWidth="1"/>
    <col min="91" max="91" width="6.28515625" bestFit="1" customWidth="1"/>
    <col min="92" max="92" width="8.42578125" bestFit="1" customWidth="1"/>
    <col min="93" max="93" width="6.140625" bestFit="1" customWidth="1"/>
    <col min="94" max="94" width="5.7109375" bestFit="1" customWidth="1"/>
    <col min="95" max="95" width="8.42578125" bestFit="1" customWidth="1"/>
    <col min="96" max="96" width="6" bestFit="1" customWidth="1"/>
    <col min="97" max="97" width="5.5703125" bestFit="1" customWidth="1"/>
    <col min="98" max="98" width="8.42578125" bestFit="1" customWidth="1"/>
    <col min="99" max="99" width="6.140625" bestFit="1" customWidth="1"/>
    <col min="100" max="100" width="6" bestFit="1" customWidth="1"/>
    <col min="101" max="101" width="8.42578125" bestFit="1" customWidth="1"/>
    <col min="102" max="102" width="5.7109375" bestFit="1" customWidth="1"/>
    <col min="103" max="103" width="6.28515625" bestFit="1" customWidth="1"/>
    <col min="104" max="104" width="8.42578125" bestFit="1" customWidth="1"/>
    <col min="105" max="105" width="6.140625" bestFit="1" customWidth="1"/>
    <col min="106" max="106" width="5.7109375" bestFit="1" customWidth="1"/>
    <col min="107" max="107" width="8.42578125" bestFit="1" customWidth="1"/>
    <col min="108" max="108" width="6" bestFit="1" customWidth="1"/>
    <col min="109" max="109" width="5.5703125" bestFit="1" customWidth="1"/>
    <col min="110" max="110" width="8.42578125" bestFit="1" customWidth="1"/>
    <col min="111" max="111" width="6.140625" bestFit="1" customWidth="1"/>
    <col min="112" max="112" width="6" bestFit="1" customWidth="1"/>
    <col min="113" max="113" width="8.42578125" bestFit="1" customWidth="1"/>
    <col min="114" max="114" width="5.7109375" bestFit="1" customWidth="1"/>
    <col min="115" max="115" width="6.28515625" bestFit="1" customWidth="1"/>
    <col min="116" max="116" width="8.42578125" bestFit="1" customWidth="1"/>
    <col min="117" max="117" width="6.140625" bestFit="1" customWidth="1"/>
    <col min="118" max="118" width="5.7109375" bestFit="1" customWidth="1"/>
    <col min="119" max="119" width="8.42578125" bestFit="1" customWidth="1"/>
    <col min="120" max="120" width="6" bestFit="1" customWidth="1"/>
    <col min="121" max="121" width="5.5703125" bestFit="1" customWidth="1"/>
    <col min="122" max="122" width="8.42578125" bestFit="1" customWidth="1"/>
    <col min="123" max="123" width="6.140625" bestFit="1" customWidth="1"/>
    <col min="124" max="124" width="6" bestFit="1" customWidth="1"/>
    <col min="125" max="125" width="8.42578125" bestFit="1" customWidth="1"/>
    <col min="126" max="126" width="5.7109375" bestFit="1" customWidth="1"/>
    <col min="127" max="127" width="6.28515625" bestFit="1" customWidth="1"/>
    <col min="128" max="128" width="8.42578125" bestFit="1" customWidth="1"/>
    <col min="129" max="129" width="6.140625" bestFit="1" customWidth="1"/>
    <col min="130" max="130" width="5.7109375" bestFit="1" customWidth="1"/>
    <col min="131" max="131" width="8.42578125" bestFit="1" customWidth="1"/>
    <col min="132" max="132" width="5.5703125" bestFit="1" customWidth="1"/>
    <col min="133" max="133" width="8.42578125" bestFit="1" customWidth="1"/>
    <col min="134" max="134" width="6.140625" bestFit="1" customWidth="1"/>
    <col min="135" max="135" width="6" bestFit="1" customWidth="1"/>
    <col min="136" max="136" width="8.42578125" bestFit="1" customWidth="1"/>
    <col min="137" max="137" width="5.7109375" bestFit="1" customWidth="1"/>
    <col min="138" max="138" width="6.28515625" bestFit="1" customWidth="1"/>
    <col min="139" max="139" width="8.42578125" bestFit="1" customWidth="1"/>
    <col min="140" max="140" width="6.140625" bestFit="1" customWidth="1"/>
    <col min="141" max="141" width="5.7109375" bestFit="1" customWidth="1"/>
    <col min="142" max="142" width="8.42578125" bestFit="1" customWidth="1"/>
    <col min="143" max="143" width="6" bestFit="1" customWidth="1"/>
    <col min="144" max="144" width="5.5703125" bestFit="1" customWidth="1"/>
    <col min="145" max="145" width="8.42578125" bestFit="1" customWidth="1"/>
    <col min="146" max="146" width="6.140625" bestFit="1" customWidth="1"/>
    <col min="147" max="147" width="6" bestFit="1" customWidth="1"/>
    <col min="148" max="148" width="8.42578125" bestFit="1" customWidth="1"/>
    <col min="149" max="149" width="5.7109375" bestFit="1" customWidth="1"/>
    <col min="150" max="150" width="6.28515625" bestFit="1" customWidth="1"/>
    <col min="151" max="151" width="8.42578125" bestFit="1" customWidth="1"/>
    <col min="152" max="152" width="6.140625" bestFit="1" customWidth="1"/>
    <col min="153" max="153" width="5.7109375" bestFit="1" customWidth="1"/>
    <col min="154" max="154" width="8.42578125" bestFit="1" customWidth="1"/>
    <col min="155" max="155" width="6" bestFit="1" customWidth="1"/>
    <col min="156" max="156" width="5.5703125" bestFit="1" customWidth="1"/>
    <col min="157" max="157" width="8.42578125" bestFit="1" customWidth="1"/>
    <col min="158" max="158" width="6.140625" bestFit="1" customWidth="1"/>
    <col min="159" max="159" width="6" bestFit="1" customWidth="1"/>
    <col min="160" max="160" width="8.42578125" bestFit="1" customWidth="1"/>
    <col min="161" max="161" width="5.7109375" bestFit="1" customWidth="1"/>
    <col min="162" max="162" width="6.28515625" bestFit="1" customWidth="1"/>
    <col min="163" max="163" width="8.42578125" bestFit="1" customWidth="1"/>
    <col min="164" max="164" width="6.140625" bestFit="1" customWidth="1"/>
    <col min="165" max="165" width="5.7109375" bestFit="1" customWidth="1"/>
    <col min="166" max="166" width="8.42578125" bestFit="1" customWidth="1"/>
    <col min="167" max="727" width="10.7109375" bestFit="1" customWidth="1"/>
  </cols>
  <sheetData>
    <row r="1" spans="1:2" x14ac:dyDescent="0.25">
      <c r="A1" s="5" t="s">
        <v>2</v>
      </c>
      <c r="B1" t="s" vm="3">
        <v>30</v>
      </c>
    </row>
    <row r="3" spans="1:2" x14ac:dyDescent="0.25">
      <c r="A3" s="5" t="s">
        <v>28</v>
      </c>
    </row>
    <row r="4" spans="1:2" x14ac:dyDescent="0.25">
      <c r="A4" s="6" t="s">
        <v>56</v>
      </c>
    </row>
    <row r="5" spans="1:2" x14ac:dyDescent="0.25">
      <c r="A5" s="7" t="s">
        <v>58</v>
      </c>
    </row>
    <row r="6" spans="1:2" x14ac:dyDescent="0.25">
      <c r="A6" s="11">
        <v>45440</v>
      </c>
    </row>
    <row r="7" spans="1:2" x14ac:dyDescent="0.25">
      <c r="A7" s="6" t="s">
        <v>126</v>
      </c>
    </row>
    <row r="8" spans="1:2" x14ac:dyDescent="0.25">
      <c r="A8" s="7" t="s">
        <v>128</v>
      </c>
    </row>
    <row r="9" spans="1:2" x14ac:dyDescent="0.25">
      <c r="A9" s="11">
        <v>45481</v>
      </c>
    </row>
    <row r="10" spans="1:2" x14ac:dyDescent="0.25">
      <c r="A10" s="6" t="s">
        <v>105</v>
      </c>
    </row>
    <row r="11" spans="1:2" x14ac:dyDescent="0.25">
      <c r="A11" s="7" t="s">
        <v>107</v>
      </c>
    </row>
    <row r="12" spans="1:2" x14ac:dyDescent="0.25">
      <c r="A12" s="11">
        <v>45469</v>
      </c>
    </row>
    <row r="13" spans="1:2" x14ac:dyDescent="0.25">
      <c r="A13" s="6" t="s">
        <v>108</v>
      </c>
    </row>
    <row r="14" spans="1:2" x14ac:dyDescent="0.25">
      <c r="A14" s="7" t="s">
        <v>110</v>
      </c>
    </row>
    <row r="15" spans="1:2" x14ac:dyDescent="0.25">
      <c r="A15" s="11">
        <v>45471</v>
      </c>
    </row>
    <row r="16" spans="1:2" x14ac:dyDescent="0.25">
      <c r="A16" s="6" t="s">
        <v>29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Props1.xml><?xml version="1.0" encoding="utf-8"?>
<ds:datastoreItem xmlns:ds="http://schemas.openxmlformats.org/officeDocument/2006/customXml" ds:itemID="{CB4A3B14-9BD1-4A86-A599-1AC434CA082E}">
  <ds:schemaRefs/>
</ds:datastoreItem>
</file>

<file path=customXml/itemProps2.xml><?xml version="1.0" encoding="utf-8"?>
<ds:datastoreItem xmlns:ds="http://schemas.openxmlformats.org/officeDocument/2006/customXml" ds:itemID="{DD72867C-9103-4D59-8549-9FF18E1D9A6F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BB4E66FA-7938-413D-A673-BD14680B7CD2}">
  <ds:schemaRefs/>
</ds:datastoreItem>
</file>

<file path=customXml/itemProps4.xml><?xml version="1.0" encoding="utf-8"?>
<ds:datastoreItem xmlns:ds="http://schemas.openxmlformats.org/officeDocument/2006/customXml" ds:itemID="{B6BB1D2D-DA71-48F1-BB58-49AE4F4BA54C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D80E9D63-BF85-407A-B635-4842E96D9588}">
  <ds:schemaRefs/>
</ds:datastoreItem>
</file>

<file path=customXml/itemProps6.xml><?xml version="1.0" encoding="utf-8"?>
<ds:datastoreItem xmlns:ds="http://schemas.openxmlformats.org/officeDocument/2006/customXml" ds:itemID="{726E9995-131B-4F91-B6CC-61369B5F819B}">
  <ds:schemaRefs/>
</ds:datastoreItem>
</file>

<file path=customXml/itemProps7.xml><?xml version="1.0" encoding="utf-8"?>
<ds:datastoreItem xmlns:ds="http://schemas.openxmlformats.org/officeDocument/2006/customXml" ds:itemID="{072D09D2-EB4D-4E29-B3DE-19189975B2A7}">
  <ds:schemaRefs/>
</ds:datastoreItem>
</file>

<file path=customXml/itemProps8.xml><?xml version="1.0" encoding="utf-8"?>
<ds:datastoreItem xmlns:ds="http://schemas.openxmlformats.org/officeDocument/2006/customXml" ds:itemID="{09ACE418-8B14-4604-8186-2A7F0DE562A0}">
  <ds:schemaRefs>
    <ds:schemaRef ds:uri="http://www.w3.org/2001/XMLSchema"/>
    <ds:schemaRef ds:uri="http://microsoft.data.visualization.engine.tours/1.0"/>
  </ds:schemaRefs>
</ds:datastoreItem>
</file>

<file path=customXml/itemProps9.xml><?xml version="1.0" encoding="utf-8"?>
<ds:datastoreItem xmlns:ds="http://schemas.openxmlformats.org/officeDocument/2006/customXml" ds:itemID="{1BFF61CF-03D6-400A-B002-884783410EF0}">
  <ds:schemaRefs/>
</ds:datastoreItem>
</file>

<file path=customXml/itemProps10.xml><?xml version="1.0" encoding="utf-8"?>
<ds:datastoreItem xmlns:ds="http://schemas.openxmlformats.org/officeDocument/2006/customXml" ds:itemID="{E2AE4033-1107-49F0-9165-4CE9CABADA43}">
  <ds:schemaRefs/>
</ds:datastoreItem>
</file>

<file path=customXml/itemProps11.xml><?xml version="1.0" encoding="utf-8"?>
<ds:datastoreItem xmlns:ds="http://schemas.openxmlformats.org/officeDocument/2006/customXml" ds:itemID="{DA1D0F9E-0A18-43B2-8027-E4B2F9A2FC4E}">
  <ds:schemaRefs/>
</ds:datastoreItem>
</file>

<file path=customXml/itemProps12.xml><?xml version="1.0" encoding="utf-8"?>
<ds:datastoreItem xmlns:ds="http://schemas.openxmlformats.org/officeDocument/2006/customXml" ds:itemID="{BDF4B8C1-7C74-4918-9802-A3829B607D99}">
  <ds:schemaRefs/>
</ds:datastoreItem>
</file>

<file path=customXml/itemProps13.xml><?xml version="1.0" encoding="utf-8"?>
<ds:datastoreItem xmlns:ds="http://schemas.openxmlformats.org/officeDocument/2006/customXml" ds:itemID="{AFBD6B5E-C71F-4208-BDC4-618E7A10C165}">
  <ds:schemaRefs/>
</ds:datastoreItem>
</file>

<file path=customXml/itemProps14.xml><?xml version="1.0" encoding="utf-8"?>
<ds:datastoreItem xmlns:ds="http://schemas.openxmlformats.org/officeDocument/2006/customXml" ds:itemID="{E688B32D-D48B-48E7-8A60-17459BCD5056}">
  <ds:schemaRefs/>
</ds:datastoreItem>
</file>

<file path=customXml/itemProps15.xml><?xml version="1.0" encoding="utf-8"?>
<ds:datastoreItem xmlns:ds="http://schemas.openxmlformats.org/officeDocument/2006/customXml" ds:itemID="{3DFC6145-4AFE-429B-B20E-DB22A43E0DF1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6CB50B42-587E-4ED0-8D2C-E12CDAE0E482}">
  <ds:schemaRefs/>
</ds:datastoreItem>
</file>

<file path=customXml/itemProps17.xml><?xml version="1.0" encoding="utf-8"?>
<ds:datastoreItem xmlns:ds="http://schemas.openxmlformats.org/officeDocument/2006/customXml" ds:itemID="{7A9D8704-4EC9-4279-9516-4E49A584C009}">
  <ds:schemaRefs/>
</ds:datastoreItem>
</file>

<file path=customXml/itemProps18.xml><?xml version="1.0" encoding="utf-8"?>
<ds:datastoreItem xmlns:ds="http://schemas.openxmlformats.org/officeDocument/2006/customXml" ds:itemID="{58E01D67-CA21-49EB-B8D0-89306F81FA7E}">
  <ds:schemaRefs/>
</ds:datastoreItem>
</file>

<file path=customXml/itemProps19.xml><?xml version="1.0" encoding="utf-8"?>
<ds:datastoreItem xmlns:ds="http://schemas.openxmlformats.org/officeDocument/2006/customXml" ds:itemID="{EA3F84D1-9309-43F9-B61B-A096E720A920}">
  <ds:schemaRefs/>
</ds:datastoreItem>
</file>

<file path=customXml/itemProps20.xml><?xml version="1.0" encoding="utf-8"?>
<ds:datastoreItem xmlns:ds="http://schemas.openxmlformats.org/officeDocument/2006/customXml" ds:itemID="{C1E20E22-7A71-40D6-964D-ED48FB754594}">
  <ds:schemaRefs/>
</ds:datastoreItem>
</file>

<file path=customXml/itemProps21.xml><?xml version="1.0" encoding="utf-8"?>
<ds:datastoreItem xmlns:ds="http://schemas.openxmlformats.org/officeDocument/2006/customXml" ds:itemID="{C8719A91-3BF5-464F-9EE4-8FB27853B081}">
  <ds:schemaRefs/>
</ds:datastoreItem>
</file>

<file path=customXml/itemProps22.xml><?xml version="1.0" encoding="utf-8"?>
<ds:datastoreItem xmlns:ds="http://schemas.openxmlformats.org/officeDocument/2006/customXml" ds:itemID="{1C808994-8503-4EAB-BB27-427DD693DE32}">
  <ds:schemaRefs/>
</ds:datastoreItem>
</file>

<file path=customXml/itemProps23.xml><?xml version="1.0" encoding="utf-8"?>
<ds:datastoreItem xmlns:ds="http://schemas.openxmlformats.org/officeDocument/2006/customXml" ds:itemID="{38F1132E-C956-4419-960C-F912E87A7353}">
  <ds:schemaRefs/>
</ds:datastoreItem>
</file>

<file path=customXml/itemProps24.xml><?xml version="1.0" encoding="utf-8"?>
<ds:datastoreItem xmlns:ds="http://schemas.openxmlformats.org/officeDocument/2006/customXml" ds:itemID="{109F641E-BEBF-40AA-BB43-E7B056871E9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Clientes</vt:lpstr>
      <vt:lpstr>Dinamica-Vendas</vt:lpstr>
      <vt:lpstr>Vendas</vt:lpstr>
      <vt:lpstr>View</vt:lpstr>
      <vt:lpstr>Dinamica-Clientes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</dc:creator>
  <cp:lastModifiedBy>Manoel Félix</cp:lastModifiedBy>
  <dcterms:created xsi:type="dcterms:W3CDTF">2024-07-12T15:27:44Z</dcterms:created>
  <dcterms:modified xsi:type="dcterms:W3CDTF">2024-07-30T18:05:05Z</dcterms:modified>
</cp:coreProperties>
</file>